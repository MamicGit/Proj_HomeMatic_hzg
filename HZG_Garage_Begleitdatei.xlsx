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Proj_HomeMatic_hzg\"/>
    </mc:Choice>
  </mc:AlternateContent>
  <xr:revisionPtr revIDLastSave="0" documentId="13_ncr:1_{EF14BF2F-437C-4385-B1E9-208F36AFB309}" xr6:coauthVersionLast="47" xr6:coauthVersionMax="47" xr10:uidLastSave="{00000000-0000-0000-0000-000000000000}"/>
  <bookViews>
    <workbookView xWindow="-120" yWindow="-120" windowWidth="29040" windowHeight="15720" xr2:uid="{A5E5E155-6E6D-42D6-AA94-FA3C918ECACD}"/>
  </bookViews>
  <sheets>
    <sheet name="Anschaltroutine" sheetId="1" r:id="rId1"/>
    <sheet name="logs" sheetId="2" r:id="rId2"/>
    <sheet name="DropDowns" sheetId="4" r:id="rId3"/>
  </sheets>
  <definedNames>
    <definedName name="_xlnm._FilterDatabase" localSheetId="1" hidden="1">logs!$A$1:$I$1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5" i="1" l="1"/>
  <c r="AB36" i="1"/>
  <c r="C44" i="1"/>
  <c r="C45" i="1"/>
  <c r="C46" i="1"/>
  <c r="C47" i="1"/>
  <c r="C48" i="1"/>
  <c r="C49" i="1"/>
  <c r="C50" i="1"/>
  <c r="C43" i="1"/>
  <c r="D44" i="1"/>
  <c r="D45" i="1"/>
  <c r="D46" i="1"/>
  <c r="D47" i="1"/>
  <c r="D48" i="1"/>
  <c r="D49" i="1"/>
  <c r="D50" i="1"/>
  <c r="D43" i="1"/>
  <c r="K35" i="1"/>
  <c r="K37" i="1"/>
  <c r="K38" i="1"/>
  <c r="K36" i="1"/>
  <c r="BN11" i="1"/>
  <c r="BN12" i="1"/>
  <c r="BN13" i="1"/>
  <c r="BN14" i="1"/>
  <c r="BN15" i="1"/>
  <c r="BN16" i="1"/>
  <c r="BN17" i="1"/>
  <c r="BN18" i="1"/>
  <c r="BN10" i="1"/>
  <c r="BM11" i="1"/>
  <c r="BM12" i="1"/>
  <c r="BM13" i="1"/>
  <c r="BM14" i="1"/>
  <c r="BM15" i="1"/>
  <c r="BM16" i="1"/>
  <c r="BM17" i="1"/>
  <c r="BM18" i="1"/>
  <c r="BM10" i="1"/>
  <c r="BB11" i="1"/>
  <c r="BB12" i="1"/>
  <c r="BB13" i="1"/>
  <c r="BB14" i="1"/>
  <c r="BB15" i="1"/>
  <c r="BB16" i="1"/>
  <c r="BB17" i="1"/>
  <c r="BB18" i="1"/>
  <c r="BB10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K7" i="1"/>
  <c r="AH7" i="1" s="1"/>
  <c r="AE7" i="1" s="1"/>
  <c r="AB7" i="1" s="1"/>
  <c r="Y7" i="1" s="1"/>
  <c r="V7" i="1" s="1"/>
  <c r="S7" i="1" s="1"/>
  <c r="P7" i="1" s="1"/>
  <c r="M7" i="1" s="1"/>
  <c r="J7" i="1" s="1"/>
  <c r="G7" i="1" s="1"/>
  <c r="D7" i="1" s="1"/>
  <c r="AN7" i="1"/>
  <c r="A4" i="4"/>
  <c r="A5" i="4"/>
  <c r="A6" i="4"/>
  <c r="A7" i="4"/>
  <c r="A8" i="4"/>
  <c r="A9" i="4" s="1"/>
  <c r="A10" i="4" s="1"/>
  <c r="A11" i="4" s="1"/>
  <c r="A12" i="4" s="1"/>
  <c r="A3" i="4"/>
  <c r="AT11" i="1"/>
  <c r="AU11" i="1" s="1"/>
  <c r="AT12" i="1"/>
  <c r="AU12" i="1" s="1"/>
  <c r="AT13" i="1"/>
  <c r="AS24" i="1" s="1"/>
  <c r="AR24" i="1" s="1"/>
  <c r="AR13" i="1" s="1"/>
  <c r="AT14" i="1"/>
  <c r="AS25" i="1" s="1"/>
  <c r="AS14" i="1" s="1"/>
  <c r="AT15" i="1"/>
  <c r="AU15" i="1" s="1"/>
  <c r="AT16" i="1"/>
  <c r="AS27" i="1" s="1"/>
  <c r="AR27" i="1" s="1"/>
  <c r="AT17" i="1"/>
  <c r="AU17" i="1" s="1"/>
  <c r="AT18" i="1"/>
  <c r="AS29" i="1" s="1"/>
  <c r="AS18" i="1" s="1"/>
  <c r="AT10" i="1"/>
  <c r="AS21" i="1" s="1"/>
  <c r="AS10" i="1" s="1"/>
  <c r="AO8" i="1"/>
  <c r="AP8" i="1" s="1"/>
  <c r="AQ8" i="1" s="1"/>
  <c r="AR8" i="1" s="1"/>
  <c r="AS8" i="1" s="1"/>
  <c r="BA9" i="1"/>
  <c r="M25" i="2"/>
  <c r="G16" i="2"/>
  <c r="F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/>
  <c r="H68" i="2" a="1"/>
  <c r="H68" i="2" s="1"/>
  <c r="H69" i="2" a="1"/>
  <c r="H69" i="2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 s="1"/>
  <c r="H168" i="2" a="1"/>
  <c r="H168" i="2" s="1"/>
  <c r="H169" i="2" a="1"/>
  <c r="H169" i="2" s="1"/>
  <c r="H170" i="2" a="1"/>
  <c r="H170" i="2" s="1"/>
  <c r="H171" i="2" a="1"/>
  <c r="H171" i="2" s="1"/>
  <c r="H172" i="2" a="1"/>
  <c r="H172" i="2" s="1"/>
  <c r="H173" i="2" a="1"/>
  <c r="H173" i="2" s="1"/>
  <c r="H174" i="2" a="1"/>
  <c r="H174" i="2" s="1"/>
  <c r="H175" i="2" a="1"/>
  <c r="H175" i="2"/>
  <c r="H176" i="2" a="1"/>
  <c r="H176" i="2" s="1"/>
  <c r="H177" i="2" a="1"/>
  <c r="H177" i="2" s="1"/>
  <c r="H178" i="2" a="1"/>
  <c r="H178" i="2" s="1"/>
  <c r="H179" i="2" a="1"/>
  <c r="H179" i="2" s="1"/>
  <c r="H180" i="2" a="1"/>
  <c r="H180" i="2" s="1"/>
  <c r="H181" i="2" a="1"/>
  <c r="H181" i="2" s="1"/>
  <c r="H182" i="2" a="1"/>
  <c r="H182" i="2" s="1"/>
  <c r="H183" i="2" a="1"/>
  <c r="H183" i="2" s="1"/>
  <c r="H184" i="2" a="1"/>
  <c r="H184" i="2" s="1"/>
  <c r="H185" i="2" a="1"/>
  <c r="H185" i="2" s="1"/>
  <c r="H186" i="2" a="1"/>
  <c r="H186" i="2" s="1"/>
  <c r="H187" i="2" a="1"/>
  <c r="H187" i="2" s="1"/>
  <c r="H188" i="2" a="1"/>
  <c r="H188" i="2" s="1"/>
  <c r="H189" i="2" a="1"/>
  <c r="H189" i="2" s="1"/>
  <c r="H190" i="2" a="1"/>
  <c r="H190" i="2" s="1"/>
  <c r="H191" i="2" a="1"/>
  <c r="H191" i="2" s="1"/>
  <c r="H192" i="2" a="1"/>
  <c r="H192" i="2" s="1"/>
  <c r="H193" i="2" a="1"/>
  <c r="H19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 s="1"/>
  <c r="H199" i="2" a="1"/>
  <c r="H199" i="2" s="1"/>
  <c r="H200" i="2" a="1"/>
  <c r="H200" i="2" s="1"/>
  <c r="H201" i="2" a="1"/>
  <c r="H201" i="2" s="1"/>
  <c r="H202" i="2" a="1"/>
  <c r="H202" i="2" s="1"/>
  <c r="H203" i="2" a="1"/>
  <c r="H203" i="2" s="1"/>
  <c r="H204" i="2" a="1"/>
  <c r="H204" i="2" s="1"/>
  <c r="H205" i="2" a="1"/>
  <c r="H205" i="2" s="1"/>
  <c r="H206" i="2" a="1"/>
  <c r="H206" i="2" s="1"/>
  <c r="H207" i="2" a="1"/>
  <c r="H207" i="2" s="1"/>
  <c r="H208" i="2" a="1"/>
  <c r="H208" i="2" s="1"/>
  <c r="H209" i="2" a="1"/>
  <c r="H209" i="2" s="1"/>
  <c r="H210" i="2" a="1"/>
  <c r="H210" i="2" s="1"/>
  <c r="H211" i="2" a="1"/>
  <c r="H211" i="2" s="1"/>
  <c r="H212" i="2" a="1"/>
  <c r="H212" i="2" s="1"/>
  <c r="H213" i="2" a="1"/>
  <c r="H213" i="2" s="1"/>
  <c r="H214" i="2" a="1"/>
  <c r="H214" i="2" s="1"/>
  <c r="H215" i="2" a="1"/>
  <c r="H215" i="2" s="1"/>
  <c r="H216" i="2" a="1"/>
  <c r="H216" i="2" s="1"/>
  <c r="H217" i="2" a="1"/>
  <c r="H217" i="2" s="1"/>
  <c r="H218" i="2" a="1"/>
  <c r="H218" i="2" s="1"/>
  <c r="H219" i="2" a="1"/>
  <c r="H219" i="2" s="1"/>
  <c r="H220" i="2" a="1"/>
  <c r="H220" i="2" s="1"/>
  <c r="H221" i="2" a="1"/>
  <c r="H221" i="2" s="1"/>
  <c r="H222" i="2" a="1"/>
  <c r="H222" i="2" s="1"/>
  <c r="H223" i="2" a="1"/>
  <c r="H223" i="2" s="1"/>
  <c r="H224" i="2" a="1"/>
  <c r="H224" i="2" s="1"/>
  <c r="H225" i="2" a="1"/>
  <c r="H225" i="2" s="1"/>
  <c r="H226" i="2" a="1"/>
  <c r="H226" i="2" s="1"/>
  <c r="H227" i="2" a="1"/>
  <c r="H227" i="2" s="1"/>
  <c r="H228" i="2" a="1"/>
  <c r="H228" i="2" s="1"/>
  <c r="H229" i="2" a="1"/>
  <c r="H229" i="2" s="1"/>
  <c r="H230" i="2" a="1"/>
  <c r="H230" i="2" s="1"/>
  <c r="H231" i="2" a="1"/>
  <c r="H231" i="2" s="1"/>
  <c r="H232" i="2" a="1"/>
  <c r="H232" i="2" s="1"/>
  <c r="H233" i="2" a="1"/>
  <c r="H233" i="2" s="1"/>
  <c r="H234" i="2" a="1"/>
  <c r="H234" i="2" s="1"/>
  <c r="H235" i="2" a="1"/>
  <c r="H235" i="2" s="1"/>
  <c r="H236" i="2" a="1"/>
  <c r="H236" i="2" s="1"/>
  <c r="H237" i="2" a="1"/>
  <c r="H237" i="2" s="1"/>
  <c r="H238" i="2" a="1"/>
  <c r="H238" i="2" s="1"/>
  <c r="H239" i="2" a="1"/>
  <c r="H239" i="2" s="1"/>
  <c r="H240" i="2" a="1"/>
  <c r="H240" i="2" s="1"/>
  <c r="H241" i="2" a="1"/>
  <c r="H241" i="2" s="1"/>
  <c r="H242" i="2" a="1"/>
  <c r="H242" i="2" s="1"/>
  <c r="H243" i="2" a="1"/>
  <c r="H243" i="2" s="1"/>
  <c r="H244" i="2" a="1"/>
  <c r="H244" i="2" s="1"/>
  <c r="H245" i="2" a="1"/>
  <c r="H245" i="2" s="1"/>
  <c r="H246" i="2" a="1"/>
  <c r="H246" i="2" s="1"/>
  <c r="H247" i="2" a="1"/>
  <c r="H247" i="2" s="1"/>
  <c r="H248" i="2" a="1"/>
  <c r="H248" i="2" s="1"/>
  <c r="H249" i="2" a="1"/>
  <c r="H249" i="2" s="1"/>
  <c r="H250" i="2" a="1"/>
  <c r="H250" i="2" s="1"/>
  <c r="H251" i="2" a="1"/>
  <c r="H251" i="2" s="1"/>
  <c r="H252" i="2" a="1"/>
  <c r="H252" i="2" s="1"/>
  <c r="H253" i="2" a="1"/>
  <c r="H253" i="2" s="1"/>
  <c r="H254" i="2" a="1"/>
  <c r="H254" i="2" s="1"/>
  <c r="H255" i="2" a="1"/>
  <c r="H255" i="2" s="1"/>
  <c r="H256" i="2" a="1"/>
  <c r="H256" i="2" s="1"/>
  <c r="H257" i="2" a="1"/>
  <c r="H257" i="2" s="1"/>
  <c r="H258" i="2" a="1"/>
  <c r="H258" i="2" s="1"/>
  <c r="H259" i="2" a="1"/>
  <c r="H259" i="2" s="1"/>
  <c r="H260" i="2" a="1"/>
  <c r="H260" i="2" s="1"/>
  <c r="H261" i="2" a="1"/>
  <c r="H261" i="2" s="1"/>
  <c r="H262" i="2" a="1"/>
  <c r="H262" i="2" s="1"/>
  <c r="H263" i="2" a="1"/>
  <c r="H263" i="2" s="1"/>
  <c r="H264" i="2" a="1"/>
  <c r="H264" i="2"/>
  <c r="H265" i="2" a="1"/>
  <c r="H265" i="2" s="1"/>
  <c r="H266" i="2" a="1"/>
  <c r="H266" i="2" s="1"/>
  <c r="H267" i="2" a="1"/>
  <c r="H267" i="2" s="1"/>
  <c r="H268" i="2" a="1"/>
  <c r="H268" i="2" s="1"/>
  <c r="H269" i="2" a="1"/>
  <c r="H269" i="2" s="1"/>
  <c r="H270" i="2" a="1"/>
  <c r="H270" i="2" s="1"/>
  <c r="H271" i="2" a="1"/>
  <c r="H271" i="2" s="1"/>
  <c r="H272" i="2" a="1"/>
  <c r="H272" i="2"/>
  <c r="H273" i="2" a="1"/>
  <c r="H273" i="2" s="1"/>
  <c r="H274" i="2" a="1"/>
  <c r="H274" i="2" s="1"/>
  <c r="H275" i="2" a="1"/>
  <c r="H275" i="2" s="1"/>
  <c r="H276" i="2" a="1"/>
  <c r="H276" i="2" s="1"/>
  <c r="H277" i="2" a="1"/>
  <c r="H277" i="2" s="1"/>
  <c r="H278" i="2" a="1"/>
  <c r="H278" i="2" s="1"/>
  <c r="H279" i="2" a="1"/>
  <c r="H279" i="2" s="1"/>
  <c r="H280" i="2" a="1"/>
  <c r="H280" i="2" s="1"/>
  <c r="H281" i="2" a="1"/>
  <c r="H281" i="2" s="1"/>
  <c r="H282" i="2" a="1"/>
  <c r="H282" i="2" s="1"/>
  <c r="H283" i="2" a="1"/>
  <c r="H283" i="2" s="1"/>
  <c r="H284" i="2" a="1"/>
  <c r="H284" i="2" s="1"/>
  <c r="H285" i="2" a="1"/>
  <c r="H285" i="2" s="1"/>
  <c r="H286" i="2" a="1"/>
  <c r="H286" i="2" s="1"/>
  <c r="H287" i="2" a="1"/>
  <c r="H287" i="2" s="1"/>
  <c r="H288" i="2" a="1"/>
  <c r="H288" i="2" s="1"/>
  <c r="H289" i="2" a="1"/>
  <c r="H289" i="2" s="1"/>
  <c r="H290" i="2" a="1"/>
  <c r="H290" i="2" s="1"/>
  <c r="H291" i="2" a="1"/>
  <c r="H291" i="2" s="1"/>
  <c r="H292" i="2" a="1"/>
  <c r="H292" i="2" s="1"/>
  <c r="H293" i="2" a="1"/>
  <c r="H293" i="2" s="1"/>
  <c r="H294" i="2" a="1"/>
  <c r="H294" i="2" s="1"/>
  <c r="H295" i="2" a="1"/>
  <c r="H295" i="2" s="1"/>
  <c r="H296" i="2" a="1"/>
  <c r="H296" i="2" s="1"/>
  <c r="H297" i="2" a="1"/>
  <c r="H297" i="2" s="1"/>
  <c r="H298" i="2" a="1"/>
  <c r="H298" i="2" s="1"/>
  <c r="H299" i="2" a="1"/>
  <c r="H299" i="2" s="1"/>
  <c r="H300" i="2" a="1"/>
  <c r="H300" i="2" s="1"/>
  <c r="H301" i="2" a="1"/>
  <c r="H301" i="2" s="1"/>
  <c r="H302" i="2" a="1"/>
  <c r="H302" i="2" s="1"/>
  <c r="H303" i="2" a="1"/>
  <c r="H303" i="2"/>
  <c r="H304" i="2" a="1"/>
  <c r="H304" i="2" s="1"/>
  <c r="H305" i="2" a="1"/>
  <c r="H305" i="2" s="1"/>
  <c r="H306" i="2" a="1"/>
  <c r="H306" i="2" s="1"/>
  <c r="H307" i="2" a="1"/>
  <c r="H307" i="2" s="1"/>
  <c r="H308" i="2" a="1"/>
  <c r="H308" i="2" s="1"/>
  <c r="H309" i="2" a="1"/>
  <c r="H309" i="2" s="1"/>
  <c r="H310" i="2" a="1"/>
  <c r="H310" i="2" s="1"/>
  <c r="H311" i="2" a="1"/>
  <c r="H311" i="2"/>
  <c r="H312" i="2" a="1"/>
  <c r="H312" i="2" s="1"/>
  <c r="H313" i="2" a="1"/>
  <c r="H313" i="2" s="1"/>
  <c r="H314" i="2" a="1"/>
  <c r="H314" i="2" s="1"/>
  <c r="H315" i="2" a="1"/>
  <c r="H315" i="2" s="1"/>
  <c r="H316" i="2" a="1"/>
  <c r="H316" i="2" s="1"/>
  <c r="H317" i="2" a="1"/>
  <c r="H317" i="2" s="1"/>
  <c r="H318" i="2" a="1"/>
  <c r="H318" i="2" s="1"/>
  <c r="H319" i="2" a="1"/>
  <c r="H319" i="2" s="1"/>
  <c r="H320" i="2" a="1"/>
  <c r="H320" i="2" s="1"/>
  <c r="H321" i="2" a="1"/>
  <c r="H321" i="2" s="1"/>
  <c r="H322" i="2" a="1"/>
  <c r="H322" i="2" s="1"/>
  <c r="H323" i="2" a="1"/>
  <c r="H323" i="2" s="1"/>
  <c r="H324" i="2" a="1"/>
  <c r="H324" i="2" s="1"/>
  <c r="H325" i="2" a="1"/>
  <c r="H325" i="2" s="1"/>
  <c r="H326" i="2" a="1"/>
  <c r="H326" i="2" s="1"/>
  <c r="H327" i="2" a="1"/>
  <c r="H327" i="2" s="1"/>
  <c r="H328" i="2" a="1"/>
  <c r="H328" i="2" s="1"/>
  <c r="H329" i="2" a="1"/>
  <c r="H329" i="2" s="1"/>
  <c r="H330" i="2" a="1"/>
  <c r="H330" i="2" s="1"/>
  <c r="H331" i="2" a="1"/>
  <c r="H331" i="2" s="1"/>
  <c r="H332" i="2" a="1"/>
  <c r="H332" i="2" s="1"/>
  <c r="H333" i="2" a="1"/>
  <c r="H333" i="2" s="1"/>
  <c r="H334" i="2" a="1"/>
  <c r="H334" i="2" s="1"/>
  <c r="H335" i="2" a="1"/>
  <c r="H335" i="2"/>
  <c r="H336" i="2" a="1"/>
  <c r="H336" i="2" s="1"/>
  <c r="H337" i="2" a="1"/>
  <c r="H337" i="2" s="1"/>
  <c r="H338" i="2" a="1"/>
  <c r="H338" i="2" s="1"/>
  <c r="H339" i="2" a="1"/>
  <c r="H339" i="2" s="1"/>
  <c r="H340" i="2" a="1"/>
  <c r="H340" i="2" s="1"/>
  <c r="H341" i="2" a="1"/>
  <c r="H341" i="2" s="1"/>
  <c r="H342" i="2" a="1"/>
  <c r="H342" i="2" s="1"/>
  <c r="H343" i="2" a="1"/>
  <c r="H343" i="2" s="1"/>
  <c r="H344" i="2" a="1"/>
  <c r="H344" i="2" s="1"/>
  <c r="H345" i="2" a="1"/>
  <c r="H345" i="2" s="1"/>
  <c r="H346" i="2" a="1"/>
  <c r="H346" i="2" s="1"/>
  <c r="H347" i="2" a="1"/>
  <c r="H347" i="2" s="1"/>
  <c r="H348" i="2" a="1"/>
  <c r="H348" i="2" s="1"/>
  <c r="H349" i="2" a="1"/>
  <c r="H349" i="2" s="1"/>
  <c r="H350" i="2" a="1"/>
  <c r="H350" i="2" s="1"/>
  <c r="H351" i="2" a="1"/>
  <c r="H351" i="2" s="1"/>
  <c r="H352" i="2" a="1"/>
  <c r="H352" i="2" s="1"/>
  <c r="H353" i="2" a="1"/>
  <c r="H353" i="2" s="1"/>
  <c r="H354" i="2" a="1"/>
  <c r="H354" i="2" s="1"/>
  <c r="H355" i="2" a="1"/>
  <c r="H355" i="2" s="1"/>
  <c r="H356" i="2" a="1"/>
  <c r="H356" i="2" s="1"/>
  <c r="H357" i="2" a="1"/>
  <c r="H357" i="2" s="1"/>
  <c r="H358" i="2" a="1"/>
  <c r="H358" i="2" s="1"/>
  <c r="H359" i="2" a="1"/>
  <c r="H359" i="2" s="1"/>
  <c r="H360" i="2" a="1"/>
  <c r="H360" i="2" s="1"/>
  <c r="H361" i="2" a="1"/>
  <c r="H361" i="2"/>
  <c r="H362" i="2" a="1"/>
  <c r="H362" i="2" s="1"/>
  <c r="H363" i="2" a="1"/>
  <c r="H363" i="2" s="1"/>
  <c r="H364" i="2" a="1"/>
  <c r="H364" i="2" s="1"/>
  <c r="H365" i="2" a="1"/>
  <c r="H365" i="2" s="1"/>
  <c r="H366" i="2" a="1"/>
  <c r="H366" i="2" s="1"/>
  <c r="H367" i="2" a="1"/>
  <c r="H367" i="2" s="1"/>
  <c r="H368" i="2" a="1"/>
  <c r="H368" i="2" s="1"/>
  <c r="H369" i="2" a="1"/>
  <c r="H369" i="2" s="1"/>
  <c r="H370" i="2" a="1"/>
  <c r="H370" i="2" s="1"/>
  <c r="H371" i="2" a="1"/>
  <c r="H371" i="2" s="1"/>
  <c r="H372" i="2" a="1"/>
  <c r="H372" i="2" s="1"/>
  <c r="H373" i="2" a="1"/>
  <c r="H373" i="2" s="1"/>
  <c r="H374" i="2" a="1"/>
  <c r="H374" i="2" s="1"/>
  <c r="H375" i="2" a="1"/>
  <c r="H375" i="2" s="1"/>
  <c r="H376" i="2" a="1"/>
  <c r="H376" i="2" s="1"/>
  <c r="H377" i="2" a="1"/>
  <c r="H377" i="2" s="1"/>
  <c r="H378" i="2" a="1"/>
  <c r="H378" i="2" s="1"/>
  <c r="H379" i="2" a="1"/>
  <c r="H379" i="2" s="1"/>
  <c r="H380" i="2" a="1"/>
  <c r="H380" i="2" s="1"/>
  <c r="H381" i="2" a="1"/>
  <c r="H381" i="2" s="1"/>
  <c r="H382" i="2" a="1"/>
  <c r="H382" i="2" s="1"/>
  <c r="H383" i="2" a="1"/>
  <c r="H383" i="2" s="1"/>
  <c r="H384" i="2" a="1"/>
  <c r="H384" i="2" s="1"/>
  <c r="H385" i="2" a="1"/>
  <c r="H385" i="2"/>
  <c r="H386" i="2" a="1"/>
  <c r="H386" i="2" s="1"/>
  <c r="H387" i="2" a="1"/>
  <c r="H387" i="2" s="1"/>
  <c r="H388" i="2" a="1"/>
  <c r="H388" i="2" s="1"/>
  <c r="H389" i="2" a="1"/>
  <c r="H389" i="2" s="1"/>
  <c r="H390" i="2" a="1"/>
  <c r="H390" i="2" s="1"/>
  <c r="H391" i="2" a="1"/>
  <c r="H391" i="2" s="1"/>
  <c r="H392" i="2" a="1"/>
  <c r="H392" i="2"/>
  <c r="H393" i="2" a="1"/>
  <c r="H393" i="2" s="1"/>
  <c r="H394" i="2" a="1"/>
  <c r="H394" i="2" s="1"/>
  <c r="H395" i="2" a="1"/>
  <c r="H395" i="2" s="1"/>
  <c r="H396" i="2" a="1"/>
  <c r="H396" i="2" s="1"/>
  <c r="H397" i="2" a="1"/>
  <c r="H397" i="2" s="1"/>
  <c r="H398" i="2" a="1"/>
  <c r="H398" i="2" s="1"/>
  <c r="H399" i="2" a="1"/>
  <c r="H399" i="2" s="1"/>
  <c r="H400" i="2" a="1"/>
  <c r="H400" i="2" s="1"/>
  <c r="H401" i="2" a="1"/>
  <c r="H401" i="2" s="1"/>
  <c r="H402" i="2" a="1"/>
  <c r="H402" i="2" s="1"/>
  <c r="H403" i="2" a="1"/>
  <c r="H403" i="2" s="1"/>
  <c r="H404" i="2" a="1"/>
  <c r="H404" i="2" s="1"/>
  <c r="H405" i="2" a="1"/>
  <c r="H405" i="2" s="1"/>
  <c r="H406" i="2" a="1"/>
  <c r="H406" i="2" s="1"/>
  <c r="H407" i="2" a="1"/>
  <c r="H407" i="2" s="1"/>
  <c r="H408" i="2" a="1"/>
  <c r="H408" i="2" s="1"/>
  <c r="H409" i="2" a="1"/>
  <c r="H409" i="2" s="1"/>
  <c r="H410" i="2" a="1"/>
  <c r="H410" i="2" s="1"/>
  <c r="H411" i="2" a="1"/>
  <c r="H411" i="2" s="1"/>
  <c r="H412" i="2" a="1"/>
  <c r="H412" i="2" s="1"/>
  <c r="H413" i="2" a="1"/>
  <c r="H413" i="2" s="1"/>
  <c r="H414" i="2" a="1"/>
  <c r="H414" i="2" s="1"/>
  <c r="H415" i="2" a="1"/>
  <c r="H415" i="2"/>
  <c r="H416" i="2" a="1"/>
  <c r="H416" i="2" s="1"/>
  <c r="H417" i="2" a="1"/>
  <c r="H417" i="2" s="1"/>
  <c r="H418" i="2" a="1"/>
  <c r="H418" i="2" s="1"/>
  <c r="H419" i="2" a="1"/>
  <c r="H419" i="2" s="1"/>
  <c r="H420" i="2" a="1"/>
  <c r="H420" i="2" s="1"/>
  <c r="H421" i="2" a="1"/>
  <c r="H421" i="2" s="1"/>
  <c r="H422" i="2" a="1"/>
  <c r="H422" i="2" s="1"/>
  <c r="H423" i="2" a="1"/>
  <c r="H423" i="2" s="1"/>
  <c r="H424" i="2" a="1"/>
  <c r="H424" i="2" s="1"/>
  <c r="H425" i="2" a="1"/>
  <c r="H425" i="2" s="1"/>
  <c r="H426" i="2" a="1"/>
  <c r="H426" i="2" s="1"/>
  <c r="H427" i="2" a="1"/>
  <c r="H427" i="2" s="1"/>
  <c r="H428" i="2" a="1"/>
  <c r="H428" i="2" s="1"/>
  <c r="H429" i="2" a="1"/>
  <c r="H429" i="2" s="1"/>
  <c r="H430" i="2" a="1"/>
  <c r="H430" i="2" s="1"/>
  <c r="H431" i="2" a="1"/>
  <c r="H431" i="2"/>
  <c r="H432" i="2" a="1"/>
  <c r="H432" i="2" s="1"/>
  <c r="H433" i="2" a="1"/>
  <c r="H433" i="2" s="1"/>
  <c r="H434" i="2" a="1"/>
  <c r="H434" i="2" s="1"/>
  <c r="H435" i="2" a="1"/>
  <c r="H435" i="2" s="1"/>
  <c r="H436" i="2" a="1"/>
  <c r="H436" i="2" s="1"/>
  <c r="H437" i="2" a="1"/>
  <c r="H437" i="2" s="1"/>
  <c r="H438" i="2" a="1"/>
  <c r="H438" i="2" s="1"/>
  <c r="H439" i="2" a="1"/>
  <c r="H439" i="2" s="1"/>
  <c r="H440" i="2" a="1"/>
  <c r="H440" i="2" s="1"/>
  <c r="H441" i="2" a="1"/>
  <c r="H441" i="2" s="1"/>
  <c r="H442" i="2" a="1"/>
  <c r="H442" i="2" s="1"/>
  <c r="H443" i="2" a="1"/>
  <c r="H443" i="2" s="1"/>
  <c r="H444" i="2" a="1"/>
  <c r="H444" i="2" s="1"/>
  <c r="H445" i="2" a="1"/>
  <c r="H445" i="2" s="1"/>
  <c r="H446" i="2" a="1"/>
  <c r="H446" i="2" s="1"/>
  <c r="H447" i="2" a="1"/>
  <c r="H447" i="2"/>
  <c r="H448" i="2" a="1"/>
  <c r="H448" i="2" s="1"/>
  <c r="H449" i="2" a="1"/>
  <c r="H449" i="2" s="1"/>
  <c r="H450" i="2" a="1"/>
  <c r="H450" i="2" s="1"/>
  <c r="H451" i="2" a="1"/>
  <c r="H451" i="2" s="1"/>
  <c r="H452" i="2" a="1"/>
  <c r="H452" i="2" s="1"/>
  <c r="H453" i="2" a="1"/>
  <c r="H453" i="2" s="1"/>
  <c r="H454" i="2" a="1"/>
  <c r="H454" i="2" s="1"/>
  <c r="H455" i="2" a="1"/>
  <c r="H455" i="2" s="1"/>
  <c r="H456" i="2" a="1"/>
  <c r="H456" i="2" s="1"/>
  <c r="H457" i="2" a="1"/>
  <c r="H457" i="2" s="1"/>
  <c r="H458" i="2" a="1"/>
  <c r="H458" i="2" s="1"/>
  <c r="H459" i="2" a="1"/>
  <c r="H459" i="2" s="1"/>
  <c r="H460" i="2" a="1"/>
  <c r="H460" i="2" s="1"/>
  <c r="H461" i="2" a="1"/>
  <c r="H461" i="2" s="1"/>
  <c r="H462" i="2" a="1"/>
  <c r="H462" i="2" s="1"/>
  <c r="H463" i="2" a="1"/>
  <c r="H463" i="2" s="1"/>
  <c r="H464" i="2" a="1"/>
  <c r="H464" i="2" s="1"/>
  <c r="H465" i="2" a="1"/>
  <c r="H465" i="2" s="1"/>
  <c r="H466" i="2" a="1"/>
  <c r="H466" i="2" s="1"/>
  <c r="H467" i="2" a="1"/>
  <c r="H467" i="2" s="1"/>
  <c r="H468" i="2" a="1"/>
  <c r="H468" i="2" s="1"/>
  <c r="H469" i="2" a="1"/>
  <c r="H469" i="2" s="1"/>
  <c r="H470" i="2" a="1"/>
  <c r="H470" i="2" s="1"/>
  <c r="H471" i="2" a="1"/>
  <c r="H471" i="2" s="1"/>
  <c r="H472" i="2" a="1"/>
  <c r="H472" i="2" s="1"/>
  <c r="H473" i="2" a="1"/>
  <c r="H473" i="2" s="1"/>
  <c r="H474" i="2" a="1"/>
  <c r="H474" i="2" s="1"/>
  <c r="H475" i="2" a="1"/>
  <c r="H475" i="2" s="1"/>
  <c r="H476" i="2" a="1"/>
  <c r="H476" i="2" s="1"/>
  <c r="H477" i="2" a="1"/>
  <c r="H477" i="2" s="1"/>
  <c r="H478" i="2" a="1"/>
  <c r="H478" i="2" s="1"/>
  <c r="H3" i="2" a="1"/>
  <c r="H3" i="2" s="1"/>
  <c r="H4" i="2" a="1"/>
  <c r="H4" i="2" s="1"/>
  <c r="H5" i="2" a="1"/>
  <c r="H5" i="2" s="1"/>
  <c r="H6" i="2" a="1"/>
  <c r="H6" i="2" s="1"/>
  <c r="H7" i="2" a="1"/>
  <c r="H7" i="2"/>
  <c r="H8" i="2" a="1"/>
  <c r="H8" i="2" s="1"/>
  <c r="H9" i="2" a="1"/>
  <c r="H9" i="2" s="1"/>
  <c r="H10" i="2" a="1"/>
  <c r="H10" i="2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/>
  <c r="H27" i="2" a="1"/>
  <c r="H27" i="2" s="1"/>
  <c r="H28" i="2" a="1"/>
  <c r="H28" i="2" s="1"/>
  <c r="H29" i="2" a="1"/>
  <c r="H29" i="2" s="1"/>
  <c r="H30" i="2" a="1"/>
  <c r="H30" i="2" s="1"/>
  <c r="H32" i="2" a="1"/>
  <c r="H32" i="2" s="1"/>
  <c r="H2" i="2" a="1"/>
  <c r="H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H31" i="2" s="1" a="1"/>
  <c r="H31" i="2" s="1"/>
  <c r="E31" i="2"/>
  <c r="E32" i="2"/>
  <c r="E2" i="2"/>
  <c r="AS28" i="1" l="1"/>
  <c r="AS17" i="1" s="1"/>
  <c r="AW3" i="1"/>
  <c r="AS16" i="1"/>
  <c r="AS22" i="1"/>
  <c r="AS11" i="1" s="1"/>
  <c r="AS23" i="1"/>
  <c r="AR23" i="1" s="1"/>
  <c r="AS26" i="1"/>
  <c r="AR26" i="1" s="1"/>
  <c r="AR15" i="1" s="1"/>
  <c r="AQ27" i="1"/>
  <c r="AR16" i="1"/>
  <c r="AS13" i="1"/>
  <c r="AR28" i="1"/>
  <c r="AR25" i="1"/>
  <c r="AR22" i="1"/>
  <c r="AR11" i="1" s="1"/>
  <c r="AQ23" i="1"/>
  <c r="AR12" i="1"/>
  <c r="AQ26" i="1"/>
  <c r="AR29" i="1"/>
  <c r="AQ24" i="1"/>
  <c r="AR21" i="1"/>
  <c r="AV17" i="1"/>
  <c r="AV15" i="1"/>
  <c r="AV12" i="1"/>
  <c r="AV11" i="1"/>
  <c r="AU8" i="1"/>
  <c r="M8" i="1"/>
  <c r="L8" i="1" s="1"/>
  <c r="K8" i="1" s="1"/>
  <c r="J8" i="1" s="1"/>
  <c r="I8" i="1" s="1"/>
  <c r="H8" i="1" s="1"/>
  <c r="G8" i="1" s="1"/>
  <c r="F8" i="1" s="1"/>
  <c r="E8" i="1" s="1"/>
  <c r="D8" i="1" s="1"/>
  <c r="AS12" i="1" l="1"/>
  <c r="AS15" i="1"/>
  <c r="AQ28" i="1"/>
  <c r="AR17" i="1"/>
  <c r="AQ25" i="1"/>
  <c r="AR14" i="1"/>
  <c r="AQ22" i="1"/>
  <c r="AP22" i="1" s="1"/>
  <c r="AP27" i="1"/>
  <c r="AQ16" i="1"/>
  <c r="AQ21" i="1"/>
  <c r="AR10" i="1"/>
  <c r="AQ13" i="1"/>
  <c r="AP24" i="1"/>
  <c r="AP23" i="1"/>
  <c r="AQ12" i="1"/>
  <c r="AQ11" i="1"/>
  <c r="AR18" i="1"/>
  <c r="AQ29" i="1"/>
  <c r="AQ15" i="1"/>
  <c r="AP26" i="1"/>
  <c r="AV16" i="1"/>
  <c r="AV18" i="1"/>
  <c r="AV14" i="1"/>
  <c r="AU13" i="1"/>
  <c r="AV13" i="1"/>
  <c r="AU14" i="1"/>
  <c r="AU18" i="1"/>
  <c r="AU16" i="1"/>
  <c r="AU10" i="1"/>
  <c r="AV10" i="1"/>
  <c r="AO27" i="1" l="1"/>
  <c r="AP16" i="1"/>
  <c r="AQ14" i="1"/>
  <c r="AP25" i="1"/>
  <c r="AP28" i="1"/>
  <c r="AQ17" i="1"/>
  <c r="AP29" i="1"/>
  <c r="AQ18" i="1"/>
  <c r="AP13" i="1"/>
  <c r="AO24" i="1"/>
  <c r="AP15" i="1"/>
  <c r="AO26" i="1"/>
  <c r="AO22" i="1"/>
  <c r="AP11" i="1"/>
  <c r="AO23" i="1"/>
  <c r="AP12" i="1"/>
  <c r="AP21" i="1"/>
  <c r="AQ10" i="1"/>
  <c r="AO28" i="1" l="1"/>
  <c r="AP17" i="1"/>
  <c r="AO25" i="1"/>
  <c r="AP14" i="1"/>
  <c r="AO16" i="1"/>
  <c r="AN27" i="1"/>
  <c r="AO13" i="1"/>
  <c r="AN24" i="1"/>
  <c r="AN23" i="1"/>
  <c r="AO12" i="1"/>
  <c r="AN22" i="1"/>
  <c r="AO11" i="1"/>
  <c r="AO15" i="1"/>
  <c r="AN26" i="1"/>
  <c r="AO29" i="1"/>
  <c r="AP18" i="1"/>
  <c r="AP10" i="1"/>
  <c r="AO21" i="1"/>
  <c r="AO14" i="1" l="1"/>
  <c r="AN25" i="1"/>
  <c r="AM27" i="1"/>
  <c r="AN16" i="1"/>
  <c r="AN28" i="1"/>
  <c r="AO17" i="1"/>
  <c r="AO10" i="1"/>
  <c r="AN21" i="1"/>
  <c r="AM22" i="1"/>
  <c r="AN11" i="1"/>
  <c r="AN15" i="1"/>
  <c r="AM26" i="1"/>
  <c r="AN29" i="1"/>
  <c r="AO18" i="1"/>
  <c r="AN12" i="1"/>
  <c r="AM23" i="1"/>
  <c r="AM24" i="1"/>
  <c r="AN13" i="1"/>
  <c r="AN17" i="1" l="1"/>
  <c r="AM28" i="1"/>
  <c r="AL27" i="1"/>
  <c r="AM16" i="1"/>
  <c r="AM25" i="1"/>
  <c r="AN14" i="1"/>
  <c r="AM29" i="1"/>
  <c r="AN18" i="1"/>
  <c r="AL24" i="1"/>
  <c r="AM13" i="1"/>
  <c r="AM12" i="1"/>
  <c r="AL23" i="1"/>
  <c r="AM15" i="1"/>
  <c r="AL26" i="1"/>
  <c r="AL22" i="1"/>
  <c r="AM11" i="1"/>
  <c r="AN10" i="1"/>
  <c r="AM21" i="1"/>
  <c r="AL25" i="1" l="1"/>
  <c r="AM14" i="1"/>
  <c r="AL16" i="1"/>
  <c r="AK27" i="1"/>
  <c r="AM17" i="1"/>
  <c r="AL28" i="1"/>
  <c r="AM10" i="1"/>
  <c r="AL21" i="1"/>
  <c r="AK26" i="1"/>
  <c r="AL15" i="1"/>
  <c r="AL13" i="1"/>
  <c r="AK24" i="1"/>
  <c r="AL12" i="1"/>
  <c r="AK23" i="1"/>
  <c r="AL29" i="1"/>
  <c r="AM18" i="1"/>
  <c r="AK22" i="1"/>
  <c r="AL11" i="1"/>
  <c r="AL17" i="1" l="1"/>
  <c r="AK28" i="1"/>
  <c r="AK16" i="1"/>
  <c r="AJ27" i="1"/>
  <c r="AK25" i="1"/>
  <c r="AL14" i="1"/>
  <c r="AK29" i="1"/>
  <c r="AL18" i="1"/>
  <c r="AJ22" i="1"/>
  <c r="AK11" i="1"/>
  <c r="AJ24" i="1"/>
  <c r="AK13" i="1"/>
  <c r="AL10" i="1"/>
  <c r="AK21" i="1"/>
  <c r="AK12" i="1"/>
  <c r="AJ23" i="1"/>
  <c r="AJ26" i="1"/>
  <c r="AK15" i="1"/>
  <c r="AK14" i="1" l="1"/>
  <c r="AJ25" i="1"/>
  <c r="AK17" i="1"/>
  <c r="AJ28" i="1"/>
  <c r="AI27" i="1"/>
  <c r="AJ16" i="1"/>
  <c r="AI24" i="1"/>
  <c r="AJ13" i="1"/>
  <c r="AI26" i="1"/>
  <c r="AJ15" i="1"/>
  <c r="AI23" i="1"/>
  <c r="AJ12" i="1"/>
  <c r="AK10" i="1"/>
  <c r="AJ21" i="1"/>
  <c r="AI22" i="1"/>
  <c r="AJ11" i="1"/>
  <c r="AJ29" i="1"/>
  <c r="AK18" i="1"/>
  <c r="AH27" i="1" l="1"/>
  <c r="AI16" i="1"/>
  <c r="AI25" i="1"/>
  <c r="AJ14" i="1"/>
  <c r="AJ17" i="1"/>
  <c r="AI28" i="1"/>
  <c r="AJ10" i="1"/>
  <c r="AI21" i="1"/>
  <c r="AH23" i="1"/>
  <c r="AI12" i="1"/>
  <c r="AH24" i="1"/>
  <c r="AI13" i="1"/>
  <c r="AH22" i="1"/>
  <c r="AI11" i="1"/>
  <c r="AH26" i="1"/>
  <c r="AI15" i="1"/>
  <c r="AI29" i="1"/>
  <c r="AJ18" i="1"/>
  <c r="AI17" i="1" l="1"/>
  <c r="AH28" i="1"/>
  <c r="AI14" i="1"/>
  <c r="AH25" i="1"/>
  <c r="AG27" i="1"/>
  <c r="AH16" i="1"/>
  <c r="AG22" i="1"/>
  <c r="AH11" i="1"/>
  <c r="AG24" i="1"/>
  <c r="AH13" i="1"/>
  <c r="AG23" i="1"/>
  <c r="AH12" i="1"/>
  <c r="AH21" i="1"/>
  <c r="AI10" i="1"/>
  <c r="AH29" i="1"/>
  <c r="AI18" i="1"/>
  <c r="AG26" i="1"/>
  <c r="AH15" i="1"/>
  <c r="AH14" i="1" l="1"/>
  <c r="AG25" i="1"/>
  <c r="AF27" i="1"/>
  <c r="AG16" i="1"/>
  <c r="AG28" i="1"/>
  <c r="AH17" i="1"/>
  <c r="AF24" i="1"/>
  <c r="AG13" i="1"/>
  <c r="AF26" i="1"/>
  <c r="AG15" i="1"/>
  <c r="AG29" i="1"/>
  <c r="AH18" i="1"/>
  <c r="AG21" i="1"/>
  <c r="AH10" i="1"/>
  <c r="AF23" i="1"/>
  <c r="AG12" i="1"/>
  <c r="AF22" i="1"/>
  <c r="AG11" i="1"/>
  <c r="AG14" i="1" l="1"/>
  <c r="AF25" i="1"/>
  <c r="AF28" i="1"/>
  <c r="AG17" i="1"/>
  <c r="AE27" i="1"/>
  <c r="AF16" i="1"/>
  <c r="AE23" i="1"/>
  <c r="AF12" i="1"/>
  <c r="AF21" i="1"/>
  <c r="AG10" i="1"/>
  <c r="AF29" i="1"/>
  <c r="AG18" i="1"/>
  <c r="AE26" i="1"/>
  <c r="AF15" i="1"/>
  <c r="AE24" i="1"/>
  <c r="AF13" i="1"/>
  <c r="AE22" i="1"/>
  <c r="AF11" i="1"/>
  <c r="AE16" i="1" l="1"/>
  <c r="AD27" i="1"/>
  <c r="AE25" i="1"/>
  <c r="AF14" i="1"/>
  <c r="AF17" i="1"/>
  <c r="AE28" i="1"/>
  <c r="AD26" i="1"/>
  <c r="AE15" i="1"/>
  <c r="AE29" i="1"/>
  <c r="AF18" i="1"/>
  <c r="AD22" i="1"/>
  <c r="AE11" i="1"/>
  <c r="AD24" i="1"/>
  <c r="AE13" i="1"/>
  <c r="AE21" i="1"/>
  <c r="AF10" i="1"/>
  <c r="AD23" i="1"/>
  <c r="AE12" i="1"/>
  <c r="AD25" i="1" l="1"/>
  <c r="AE14" i="1"/>
  <c r="AD16" i="1"/>
  <c r="AC27" i="1"/>
  <c r="AE17" i="1"/>
  <c r="AD28" i="1"/>
  <c r="AD21" i="1"/>
  <c r="AE10" i="1"/>
  <c r="AC22" i="1"/>
  <c r="AD11" i="1"/>
  <c r="AD29" i="1"/>
  <c r="AE18" i="1"/>
  <c r="AC23" i="1"/>
  <c r="AD12" i="1"/>
  <c r="AC24" i="1"/>
  <c r="AD13" i="1"/>
  <c r="AC26" i="1"/>
  <c r="AD15" i="1"/>
  <c r="AC28" i="1" l="1"/>
  <c r="AD17" i="1"/>
  <c r="AC16" i="1"/>
  <c r="AB27" i="1"/>
  <c r="AD14" i="1"/>
  <c r="AC25" i="1"/>
  <c r="AB23" i="1"/>
  <c r="AC12" i="1"/>
  <c r="AB24" i="1"/>
  <c r="AC13" i="1"/>
  <c r="AC29" i="1"/>
  <c r="AD18" i="1"/>
  <c r="AB22" i="1"/>
  <c r="AC11" i="1"/>
  <c r="AC21" i="1"/>
  <c r="AD10" i="1"/>
  <c r="AB26" i="1"/>
  <c r="AC15" i="1"/>
  <c r="AC14" i="1" l="1"/>
  <c r="AB25" i="1"/>
  <c r="AB16" i="1"/>
  <c r="AA27" i="1"/>
  <c r="AB28" i="1"/>
  <c r="AC17" i="1"/>
  <c r="AB29" i="1"/>
  <c r="AC18" i="1"/>
  <c r="AA26" i="1"/>
  <c r="AB15" i="1"/>
  <c r="AB21" i="1"/>
  <c r="AC10" i="1"/>
  <c r="AA22" i="1"/>
  <c r="AB11" i="1"/>
  <c r="AA24" i="1"/>
  <c r="AB13" i="1"/>
  <c r="AA23" i="1"/>
  <c r="AB12" i="1"/>
  <c r="AA28" i="1" l="1"/>
  <c r="AB17" i="1"/>
  <c r="AA25" i="1"/>
  <c r="AB14" i="1"/>
  <c r="Z27" i="1"/>
  <c r="AA16" i="1"/>
  <c r="Z24" i="1"/>
  <c r="AA13" i="1"/>
  <c r="Z22" i="1"/>
  <c r="AA11" i="1"/>
  <c r="AA29" i="1"/>
  <c r="AB18" i="1"/>
  <c r="AA21" i="1"/>
  <c r="AB10" i="1"/>
  <c r="Z26" i="1"/>
  <c r="AA15" i="1"/>
  <c r="Z23" i="1"/>
  <c r="AA12" i="1"/>
  <c r="Y27" i="1" l="1"/>
  <c r="Z16" i="1"/>
  <c r="AA14" i="1"/>
  <c r="Z25" i="1"/>
  <c r="Z28" i="1"/>
  <c r="AA17" i="1"/>
  <c r="Z21" i="1"/>
  <c r="AA10" i="1"/>
  <c r="Z29" i="1"/>
  <c r="AA18" i="1"/>
  <c r="Y23" i="1"/>
  <c r="Z12" i="1"/>
  <c r="Y26" i="1"/>
  <c r="Z15" i="1"/>
  <c r="Y22" i="1"/>
  <c r="Z11" i="1"/>
  <c r="Y24" i="1"/>
  <c r="Z13" i="1"/>
  <c r="Y28" i="1" l="1"/>
  <c r="Z17" i="1"/>
  <c r="Z14" i="1"/>
  <c r="Y25" i="1"/>
  <c r="X27" i="1"/>
  <c r="Y16" i="1"/>
  <c r="X22" i="1"/>
  <c r="Y11" i="1"/>
  <c r="X26" i="1"/>
  <c r="Y15" i="1"/>
  <c r="X23" i="1"/>
  <c r="Y12" i="1"/>
  <c r="Y29" i="1"/>
  <c r="Z18" i="1"/>
  <c r="X24" i="1"/>
  <c r="Y13" i="1"/>
  <c r="Y21" i="1"/>
  <c r="Z10" i="1"/>
  <c r="W27" i="1" l="1"/>
  <c r="X16" i="1"/>
  <c r="X25" i="1"/>
  <c r="Y14" i="1"/>
  <c r="X28" i="1"/>
  <c r="Y17" i="1"/>
  <c r="W24" i="1"/>
  <c r="X13" i="1"/>
  <c r="W26" i="1"/>
  <c r="X15" i="1"/>
  <c r="X29" i="1"/>
  <c r="Y18" i="1"/>
  <c r="W23" i="1"/>
  <c r="X12" i="1"/>
  <c r="X21" i="1"/>
  <c r="Y10" i="1"/>
  <c r="W22" i="1"/>
  <c r="X11" i="1"/>
  <c r="W25" i="1" l="1"/>
  <c r="X14" i="1"/>
  <c r="W28" i="1"/>
  <c r="X17" i="1"/>
  <c r="W16" i="1"/>
  <c r="V27" i="1"/>
  <c r="W21" i="1"/>
  <c r="X10" i="1"/>
  <c r="W29" i="1"/>
  <c r="X18" i="1"/>
  <c r="V23" i="1"/>
  <c r="W12" i="1"/>
  <c r="V26" i="1"/>
  <c r="W15" i="1"/>
  <c r="V22" i="1"/>
  <c r="W11" i="1"/>
  <c r="V24" i="1"/>
  <c r="W13" i="1"/>
  <c r="U27" i="1" l="1"/>
  <c r="V16" i="1"/>
  <c r="V28" i="1"/>
  <c r="W17" i="1"/>
  <c r="V25" i="1"/>
  <c r="W14" i="1"/>
  <c r="U26" i="1"/>
  <c r="V15" i="1"/>
  <c r="U22" i="1"/>
  <c r="V11" i="1"/>
  <c r="U23" i="1"/>
  <c r="V12" i="1"/>
  <c r="V29" i="1"/>
  <c r="W18" i="1"/>
  <c r="V21" i="1"/>
  <c r="W10" i="1"/>
  <c r="U24" i="1"/>
  <c r="V13" i="1"/>
  <c r="U25" i="1" l="1"/>
  <c r="V14" i="1"/>
  <c r="U28" i="1"/>
  <c r="V17" i="1"/>
  <c r="T27" i="1"/>
  <c r="U16" i="1"/>
  <c r="U21" i="1"/>
  <c r="V10" i="1"/>
  <c r="U29" i="1"/>
  <c r="V18" i="1"/>
  <c r="T22" i="1"/>
  <c r="U11" i="1"/>
  <c r="T24" i="1"/>
  <c r="U13" i="1"/>
  <c r="T23" i="1"/>
  <c r="U12" i="1"/>
  <c r="T26" i="1"/>
  <c r="U15" i="1"/>
  <c r="T16" i="1" l="1"/>
  <c r="S27" i="1"/>
  <c r="T28" i="1"/>
  <c r="U17" i="1"/>
  <c r="T25" i="1"/>
  <c r="U14" i="1"/>
  <c r="S23" i="1"/>
  <c r="T12" i="1"/>
  <c r="S22" i="1"/>
  <c r="T11" i="1"/>
  <c r="T29" i="1"/>
  <c r="U18" i="1"/>
  <c r="S24" i="1"/>
  <c r="T13" i="1"/>
  <c r="S26" i="1"/>
  <c r="T15" i="1"/>
  <c r="T21" i="1"/>
  <c r="U10" i="1"/>
  <c r="R27" i="1" l="1"/>
  <c r="S16" i="1"/>
  <c r="S25" i="1"/>
  <c r="T14" i="1"/>
  <c r="T17" i="1"/>
  <c r="S28" i="1"/>
  <c r="R24" i="1"/>
  <c r="S13" i="1"/>
  <c r="R22" i="1"/>
  <c r="S11" i="1"/>
  <c r="R26" i="1"/>
  <c r="S15" i="1"/>
  <c r="S29" i="1"/>
  <c r="T18" i="1"/>
  <c r="R23" i="1"/>
  <c r="S12" i="1"/>
  <c r="S21" i="1"/>
  <c r="T10" i="1"/>
  <c r="R28" i="1" l="1"/>
  <c r="S17" i="1"/>
  <c r="R25" i="1"/>
  <c r="S14" i="1"/>
  <c r="Q27" i="1"/>
  <c r="R16" i="1"/>
  <c r="Q23" i="1"/>
  <c r="R12" i="1"/>
  <c r="R21" i="1"/>
  <c r="S10" i="1"/>
  <c r="Q22" i="1"/>
  <c r="R11" i="1"/>
  <c r="R29" i="1"/>
  <c r="S18" i="1"/>
  <c r="Q26" i="1"/>
  <c r="R15" i="1"/>
  <c r="Q24" i="1"/>
  <c r="R13" i="1"/>
  <c r="P27" i="1" l="1"/>
  <c r="Q16" i="1"/>
  <c r="R14" i="1"/>
  <c r="Q25" i="1"/>
  <c r="Q28" i="1"/>
  <c r="R17" i="1"/>
  <c r="Q29" i="1"/>
  <c r="R18" i="1"/>
  <c r="P22" i="1"/>
  <c r="Q11" i="1"/>
  <c r="Q21" i="1"/>
  <c r="R10" i="1"/>
  <c r="P26" i="1"/>
  <c r="Q15" i="1"/>
  <c r="P24" i="1"/>
  <c r="Q13" i="1"/>
  <c r="P23" i="1"/>
  <c r="Q12" i="1"/>
  <c r="P28" i="1" l="1"/>
  <c r="Q17" i="1"/>
  <c r="P25" i="1"/>
  <c r="Q14" i="1"/>
  <c r="O27" i="1"/>
  <c r="P16" i="1"/>
  <c r="O24" i="1"/>
  <c r="P13" i="1"/>
  <c r="P21" i="1"/>
  <c r="Q10" i="1"/>
  <c r="P29" i="1"/>
  <c r="Q18" i="1"/>
  <c r="O26" i="1"/>
  <c r="P15" i="1"/>
  <c r="O22" i="1"/>
  <c r="P11" i="1"/>
  <c r="O23" i="1"/>
  <c r="P12" i="1"/>
  <c r="N27" i="1" l="1"/>
  <c r="O16" i="1"/>
  <c r="O25" i="1"/>
  <c r="P14" i="1"/>
  <c r="O28" i="1"/>
  <c r="P17" i="1"/>
  <c r="N22" i="1"/>
  <c r="O11" i="1"/>
  <c r="N23" i="1"/>
  <c r="O12" i="1"/>
  <c r="O21" i="1"/>
  <c r="P10" i="1"/>
  <c r="N26" i="1"/>
  <c r="O15" i="1"/>
  <c r="O29" i="1"/>
  <c r="P18" i="1"/>
  <c r="N24" i="1"/>
  <c r="O13" i="1"/>
  <c r="O14" i="1" l="1"/>
  <c r="N25" i="1"/>
  <c r="N28" i="1"/>
  <c r="O17" i="1"/>
  <c r="N16" i="1"/>
  <c r="M27" i="1"/>
  <c r="N21" i="1"/>
  <c r="O10" i="1"/>
  <c r="M26" i="1"/>
  <c r="N15" i="1"/>
  <c r="M23" i="1"/>
  <c r="N12" i="1"/>
  <c r="N29" i="1"/>
  <c r="O18" i="1"/>
  <c r="M24" i="1"/>
  <c r="N13" i="1"/>
  <c r="M22" i="1"/>
  <c r="N11" i="1"/>
  <c r="L27" i="1" l="1"/>
  <c r="M16" i="1"/>
  <c r="M25" i="1"/>
  <c r="N14" i="1"/>
  <c r="M28" i="1"/>
  <c r="N17" i="1"/>
  <c r="M29" i="1"/>
  <c r="N18" i="1"/>
  <c r="L24" i="1"/>
  <c r="M13" i="1"/>
  <c r="L23" i="1"/>
  <c r="M12" i="1"/>
  <c r="L26" i="1"/>
  <c r="M15" i="1"/>
  <c r="L22" i="1"/>
  <c r="M11" i="1"/>
  <c r="M21" i="1"/>
  <c r="N10" i="1"/>
  <c r="L28" i="1" l="1"/>
  <c r="M17" i="1"/>
  <c r="L25" i="1"/>
  <c r="M14" i="1"/>
  <c r="K27" i="1"/>
  <c r="L16" i="1"/>
  <c r="K26" i="1"/>
  <c r="L15" i="1"/>
  <c r="K23" i="1"/>
  <c r="L12" i="1"/>
  <c r="K22" i="1"/>
  <c r="L11" i="1"/>
  <c r="K24" i="1"/>
  <c r="L13" i="1"/>
  <c r="L21" i="1"/>
  <c r="M10" i="1"/>
  <c r="L29" i="1"/>
  <c r="M18" i="1"/>
  <c r="J27" i="1" l="1"/>
  <c r="K16" i="1"/>
  <c r="K25" i="1"/>
  <c r="L14" i="1"/>
  <c r="K28" i="1"/>
  <c r="L17" i="1"/>
  <c r="J24" i="1"/>
  <c r="K13" i="1"/>
  <c r="K21" i="1"/>
  <c r="L10" i="1"/>
  <c r="J22" i="1"/>
  <c r="K11" i="1"/>
  <c r="J23" i="1"/>
  <c r="K12" i="1"/>
  <c r="K29" i="1"/>
  <c r="L18" i="1"/>
  <c r="J26" i="1"/>
  <c r="K15" i="1"/>
  <c r="K17" i="1" l="1"/>
  <c r="J28" i="1"/>
  <c r="J25" i="1"/>
  <c r="K14" i="1"/>
  <c r="I27" i="1"/>
  <c r="J16" i="1"/>
  <c r="I23" i="1"/>
  <c r="J12" i="1"/>
  <c r="I22" i="1"/>
  <c r="J11" i="1"/>
  <c r="J29" i="1"/>
  <c r="K18" i="1"/>
  <c r="J21" i="1"/>
  <c r="K10" i="1"/>
  <c r="I26" i="1"/>
  <c r="J15" i="1"/>
  <c r="I24" i="1"/>
  <c r="J13" i="1"/>
  <c r="I28" i="1" l="1"/>
  <c r="J17" i="1"/>
  <c r="I16" i="1"/>
  <c r="H27" i="1"/>
  <c r="J14" i="1"/>
  <c r="I25" i="1"/>
  <c r="I29" i="1"/>
  <c r="J18" i="1"/>
  <c r="H26" i="1"/>
  <c r="I15" i="1"/>
  <c r="I21" i="1"/>
  <c r="J10" i="1"/>
  <c r="H22" i="1"/>
  <c r="I11" i="1"/>
  <c r="H24" i="1"/>
  <c r="I13" i="1"/>
  <c r="H23" i="1"/>
  <c r="I12" i="1"/>
  <c r="I14" i="1" l="1"/>
  <c r="H25" i="1"/>
  <c r="G27" i="1"/>
  <c r="H16" i="1"/>
  <c r="H28" i="1"/>
  <c r="I17" i="1"/>
  <c r="G22" i="1"/>
  <c r="H11" i="1"/>
  <c r="G24" i="1"/>
  <c r="H13" i="1"/>
  <c r="H21" i="1"/>
  <c r="I10" i="1"/>
  <c r="G26" i="1"/>
  <c r="H15" i="1"/>
  <c r="H29" i="1"/>
  <c r="I18" i="1"/>
  <c r="G23" i="1"/>
  <c r="H12" i="1"/>
  <c r="G25" i="1" l="1"/>
  <c r="H14" i="1"/>
  <c r="H17" i="1"/>
  <c r="G28" i="1"/>
  <c r="G16" i="1"/>
  <c r="F27" i="1"/>
  <c r="F23" i="1"/>
  <c r="G12" i="1"/>
  <c r="F26" i="1"/>
  <c r="G15" i="1"/>
  <c r="G29" i="1"/>
  <c r="H18" i="1"/>
  <c r="G21" i="1"/>
  <c r="H10" i="1"/>
  <c r="F24" i="1"/>
  <c r="G13" i="1"/>
  <c r="F22" i="1"/>
  <c r="G11" i="1"/>
  <c r="E27" i="1" l="1"/>
  <c r="F16" i="1"/>
  <c r="F28" i="1"/>
  <c r="G17" i="1"/>
  <c r="G14" i="1"/>
  <c r="F25" i="1"/>
  <c r="F21" i="1"/>
  <c r="G10" i="1"/>
  <c r="E24" i="1"/>
  <c r="F13" i="1"/>
  <c r="E26" i="1"/>
  <c r="F15" i="1"/>
  <c r="F29" i="1"/>
  <c r="G18" i="1"/>
  <c r="E22" i="1"/>
  <c r="F11" i="1"/>
  <c r="E23" i="1"/>
  <c r="F12" i="1"/>
  <c r="F14" i="1" l="1"/>
  <c r="E25" i="1"/>
  <c r="E28" i="1"/>
  <c r="F17" i="1"/>
  <c r="D27" i="1"/>
  <c r="E16" i="1"/>
  <c r="D22" i="1"/>
  <c r="E11" i="1"/>
  <c r="D24" i="1"/>
  <c r="E13" i="1"/>
  <c r="E21" i="1"/>
  <c r="F10" i="1"/>
  <c r="E29" i="1"/>
  <c r="F18" i="1"/>
  <c r="D26" i="1"/>
  <c r="E15" i="1"/>
  <c r="D23" i="1"/>
  <c r="E12" i="1"/>
  <c r="D16" i="1" l="1"/>
  <c r="AZ16" i="1"/>
  <c r="BA16" i="1" s="1"/>
  <c r="D28" i="1"/>
  <c r="E17" i="1"/>
  <c r="E14" i="1"/>
  <c r="D25" i="1"/>
  <c r="D12" i="1"/>
  <c r="AZ12" i="1"/>
  <c r="BA12" i="1" s="1"/>
  <c r="D13" i="1"/>
  <c r="AZ13" i="1"/>
  <c r="BA13" i="1" s="1"/>
  <c r="D29" i="1"/>
  <c r="E18" i="1"/>
  <c r="D15" i="1"/>
  <c r="AZ15" i="1"/>
  <c r="BA15" i="1" s="1"/>
  <c r="D21" i="1"/>
  <c r="E10" i="1"/>
  <c r="D11" i="1"/>
  <c r="AZ11" i="1"/>
  <c r="BA11" i="1" s="1"/>
  <c r="D14" i="1" l="1"/>
  <c r="AZ14" i="1"/>
  <c r="BA14" i="1" s="1"/>
  <c r="D17" i="1"/>
  <c r="AZ17" i="1"/>
  <c r="BA17" i="1" s="1"/>
  <c r="D10" i="1"/>
  <c r="AZ10" i="1"/>
  <c r="BA10" i="1" s="1"/>
  <c r="D18" i="1"/>
  <c r="AZ18" i="1"/>
  <c r="BA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<sst xmlns="http://schemas.openxmlformats.org/spreadsheetml/2006/main" count="171" uniqueCount="93">
  <si>
    <t>Fr</t>
  </si>
  <si>
    <t>Außen &gt; x</t>
  </si>
  <si>
    <t>Faktor</t>
  </si>
  <si>
    <t>Grad</t>
  </si>
  <si>
    <t>h/3</t>
  </si>
  <si>
    <t>Sa</t>
  </si>
  <si>
    <t>So</t>
  </si>
  <si>
    <t>GrgLounge_HzgTEST_AN</t>
  </si>
  <si>
    <t>AUS</t>
  </si>
  <si>
    <t>AN</t>
  </si>
  <si>
    <t>Zeit</t>
  </si>
  <si>
    <t>Datum</t>
  </si>
  <si>
    <t>Kanal / Systemvariable</t>
  </si>
  <si>
    <t>Aktivität</t>
  </si>
  <si>
    <t>DauerNext</t>
  </si>
  <si>
    <t>Dauer_Timer</t>
  </si>
  <si>
    <t>Minus 2,5 mIn</t>
  </si>
  <si>
    <t>Hier die Var-Namen rein die Zahlen ausgeben</t>
  </si>
  <si>
    <t>manuell auf AUS gesetzt</t>
  </si>
  <si>
    <t>ZuKalt</t>
  </si>
  <si>
    <t>bis 0</t>
  </si>
  <si>
    <t>bis 2</t>
  </si>
  <si>
    <t>bis 4</t>
  </si>
  <si>
    <t>bis 6</t>
  </si>
  <si>
    <t>bis 8</t>
  </si>
  <si>
    <t>bis 10</t>
  </si>
  <si>
    <t>bis 12</t>
  </si>
  <si>
    <t>bis 14</t>
  </si>
  <si>
    <t>bis 16</t>
  </si>
  <si>
    <t>bis 40</t>
  </si>
  <si>
    <t>max</t>
  </si>
  <si>
    <t>copy/paste</t>
  </si>
  <si>
    <t>Ausgabe</t>
  </si>
  <si>
    <t>In Programmcode einfüren</t>
  </si>
  <si>
    <r>
      <t>Variable:</t>
    </r>
    <r>
      <rPr>
        <sz val="11"/>
        <color rgb="FFC00000"/>
        <rFont val="Aptos Narrow"/>
        <family val="2"/>
        <scheme val="minor"/>
      </rPr>
      <t xml:space="preserve"> trigger_CelsiusI</t>
    </r>
  </si>
  <si>
    <t>"0;2;4;6;8;10;12;14;16;40"</t>
  </si>
  <si>
    <t>grad</t>
  </si>
  <si>
    <t>gemessen &gt; x</t>
  </si>
  <si>
    <t>verweis</t>
  </si>
  <si>
    <t>verbr.</t>
  </si>
  <si>
    <t>std</t>
  </si>
  <si>
    <t>&gt;=15</t>
  </si>
  <si>
    <t>&gt;=14</t>
  </si>
  <si>
    <t>&gt;=12</t>
  </si>
  <si>
    <t>&gt;=10</t>
  </si>
  <si>
    <t>&gt;=8</t>
  </si>
  <si>
    <t>&gt;=6</t>
  </si>
  <si>
    <t>&gt;=4</t>
  </si>
  <si>
    <t>&gt;=2</t>
  </si>
  <si>
    <t>&gt;=0</t>
  </si>
  <si>
    <t>Ziel-Zeit für WARM:</t>
  </si>
  <si>
    <t>20,3</t>
  </si>
  <si>
    <t>20min</t>
  </si>
  <si>
    <t>Heizfortschritt pro Std:</t>
  </si>
  <si>
    <t>16:00</t>
  </si>
  <si>
    <t>Auswahl Uhrzeit wenn warm sein soll</t>
  </si>
  <si>
    <t>Hilfteil</t>
  </si>
  <si>
    <t>für Übersichtlichkeit</t>
  </si>
  <si>
    <t>Zieltemperatur:</t>
  </si>
  <si>
    <t>Innen --&gt;</t>
  </si>
  <si>
    <t>Außen</t>
  </si>
  <si>
    <t>1) Auswählen was die Zielzeit für warmen Raum sein soll</t>
  </si>
  <si>
    <t>2) Daten löschen BD10 bis BL19</t>
  </si>
  <si>
    <t>3) Raumtemp. (AA9) auf 0 einstellen</t>
  </si>
  <si>
    <t>4) Daten BA10 - BA18 kopieren, Inhalte einfügen in BD10-BL18 (grüber Header)</t>
  </si>
  <si>
    <t>12</t>
  </si>
  <si>
    <t>Innen</t>
  </si>
  <si>
    <t>9</t>
  </si>
  <si>
    <t>Unit-Test</t>
  </si>
  <si>
    <t>Wert</t>
  </si>
  <si>
    <t>"Variable"</t>
  </si>
  <si>
    <t>"GrgLounge_HzgTEST_TempIndor"</t>
  </si>
  <si>
    <t>"00_TestVariable_ZK"</t>
  </si>
  <si>
    <t>"00_ValueHour"</t>
  </si>
  <si>
    <t>in SDV einkopieren</t>
  </si>
  <si>
    <t>Außentemp.</t>
  </si>
  <si>
    <t>Innentemp.</t>
  </si>
  <si>
    <t>"GrgLounge_HzgTEST_BasisT"</t>
  </si>
  <si>
    <t>Wochentag</t>
  </si>
  <si>
    <t>"Sun"</t>
  </si>
  <si>
    <t>Progr:</t>
  </si>
  <si>
    <t>GrgLounge_Heizung_AUTOMATICS</t>
  </si>
  <si>
    <t>2</t>
  </si>
  <si>
    <t>von</t>
  </si>
  <si>
    <t>bis</t>
  </si>
  <si>
    <t>Dropdowns</t>
  </si>
  <si>
    <t>Innentemp. Im Dropdown auswählen</t>
  </si>
  <si>
    <t>links bei AUSSEN schauen</t>
  </si>
  <si>
    <t>Eingabe</t>
  </si>
  <si>
    <t>Programm</t>
  </si>
  <si>
    <t>5</t>
  </si>
  <si>
    <t>"02:27"</t>
  </si>
  <si>
    <t>erw. 20.3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</si>
</sst>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8"/>
      <color theme="0" tint="-0.14999847407452621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Alignment="1"/>
    <xf numFmtId="49" fontId="0" fillId="0" borderId="0" xfId="0" applyNumberFormat="1" applyAlignment="1">
      <alignment horizontal="right"/>
    </xf>
    <xf numFmtId="49" fontId="0" fillId="0" borderId="0" xfId="0" applyNumberFormat="1" applyBorder="1" applyAlignment="1">
      <alignment horizontal="right"/>
    </xf>
    <xf numFmtId="21" fontId="0" fillId="0" borderId="0" xfId="0" applyNumberFormat="1" applyAlignment="1">
      <alignment horizontal="center" textRotation="90"/>
    </xf>
    <xf numFmtId="0" fontId="0" fillId="0" borderId="0" xfId="0" applyBorder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164" fontId="0" fillId="0" borderId="0" xfId="0" applyNumberFormat="1" applyBorder="1" applyAlignment="1"/>
    <xf numFmtId="49" fontId="0" fillId="3" borderId="0" xfId="0" applyNumberFormat="1" applyFill="1" applyBorder="1" applyAlignment="1">
      <alignment horizontal="center"/>
    </xf>
    <xf numFmtId="49" fontId="0" fillId="3" borderId="0" xfId="0" applyNumberFormat="1" applyFill="1" applyBorder="1" applyAlignment="1">
      <alignment horizontal="right"/>
    </xf>
    <xf numFmtId="164" fontId="0" fillId="0" borderId="0" xfId="0" applyNumberFormat="1" applyAlignment="1"/>
    <xf numFmtId="164" fontId="1" fillId="0" borderId="0" xfId="0" applyNumberFormat="1" applyFont="1" applyAlignment="1"/>
    <xf numFmtId="164" fontId="0" fillId="0" borderId="0" xfId="0" applyNumberFormat="1"/>
    <xf numFmtId="0" fontId="0" fillId="0" borderId="0" xfId="0" applyNumberFormat="1" applyAlignment="1">
      <alignment horizontal="right" textRotation="90"/>
    </xf>
    <xf numFmtId="164" fontId="0" fillId="0" borderId="1" xfId="0" applyNumberFormat="1" applyBorder="1" applyAlignment="1"/>
    <xf numFmtId="164" fontId="0" fillId="0" borderId="0" xfId="0" applyNumberFormat="1" applyFill="1" applyBorder="1" applyAlignment="1"/>
    <xf numFmtId="164" fontId="2" fillId="0" borderId="0" xfId="0" applyNumberFormat="1" applyFont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21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21" fontId="4" fillId="0" borderId="0" xfId="0" applyNumberFormat="1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21" fontId="4" fillId="0" borderId="3" xfId="0" applyNumberFormat="1" applyFont="1" applyBorder="1" applyAlignment="1">
      <alignment vertical="center" wrapText="1"/>
    </xf>
    <xf numFmtId="14" fontId="4" fillId="0" borderId="3" xfId="0" applyNumberFormat="1" applyFont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21" fontId="4" fillId="0" borderId="0" xfId="0" applyNumberFormat="1" applyFont="1"/>
    <xf numFmtId="21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/>
    <xf numFmtId="165" fontId="0" fillId="3" borderId="0" xfId="0" applyNumberFormat="1" applyFill="1" applyBorder="1" applyAlignment="1">
      <alignment horizontal="center"/>
    </xf>
    <xf numFmtId="165" fontId="0" fillId="3" borderId="0" xfId="0" applyNumberFormat="1" applyFill="1" applyBorder="1" applyAlignment="1">
      <alignment horizontal="right"/>
    </xf>
    <xf numFmtId="0" fontId="5" fillId="0" borderId="0" xfId="0" applyFont="1" applyAlignment="1"/>
    <xf numFmtId="0" fontId="9" fillId="0" borderId="0" xfId="0" applyFont="1" applyAlignment="1"/>
    <xf numFmtId="0" fontId="5" fillId="0" borderId="0" xfId="0" applyFont="1" applyAlignment="1">
      <alignment textRotation="90"/>
    </xf>
    <xf numFmtId="0" fontId="5" fillId="0" borderId="0" xfId="0" applyFont="1" applyBorder="1" applyAlignment="1"/>
    <xf numFmtId="164" fontId="5" fillId="0" borderId="0" xfId="0" applyNumberFormat="1" applyFont="1" applyBorder="1" applyAlignment="1"/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21" fontId="0" fillId="0" borderId="0" xfId="0" applyNumberFormat="1" applyAlignment="1"/>
    <xf numFmtId="20" fontId="0" fillId="0" borderId="0" xfId="0" applyNumberFormat="1"/>
    <xf numFmtId="164" fontId="0" fillId="0" borderId="0" xfId="0" applyNumberFormat="1" applyBorder="1"/>
    <xf numFmtId="0" fontId="0" fillId="0" borderId="0" xfId="0" applyBorder="1"/>
    <xf numFmtId="0" fontId="11" fillId="0" borderId="0" xfId="0" applyFont="1" applyBorder="1" applyAlignment="1">
      <alignment horizontal="right"/>
    </xf>
    <xf numFmtId="49" fontId="11" fillId="0" borderId="0" xfId="0" applyNumberFormat="1" applyFont="1" applyBorder="1" applyAlignment="1">
      <alignment horizontal="right"/>
    </xf>
    <xf numFmtId="0" fontId="11" fillId="0" borderId="0" xfId="0" applyFont="1" applyBorder="1" applyAlignment="1"/>
    <xf numFmtId="0" fontId="11" fillId="0" borderId="0" xfId="0" applyFont="1" applyAlignme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164" fontId="12" fillId="0" borderId="0" xfId="0" applyNumberFormat="1" applyFont="1" applyBorder="1" applyAlignment="1">
      <alignment horizontal="center"/>
    </xf>
    <xf numFmtId="164" fontId="11" fillId="0" borderId="0" xfId="0" applyNumberFormat="1" applyFont="1" applyBorder="1"/>
    <xf numFmtId="0" fontId="11" fillId="0" borderId="0" xfId="0" applyFont="1"/>
    <xf numFmtId="164" fontId="12" fillId="0" borderId="12" xfId="0" applyNumberFormat="1" applyFont="1" applyBorder="1" applyAlignment="1">
      <alignment horizontal="center"/>
    </xf>
    <xf numFmtId="164" fontId="12" fillId="0" borderId="13" xfId="0" applyNumberFormat="1" applyFont="1" applyBorder="1" applyAlignment="1">
      <alignment horizontal="center"/>
    </xf>
    <xf numFmtId="164" fontId="12" fillId="0" borderId="14" xfId="0" applyNumberFormat="1" applyFont="1" applyBorder="1" applyAlignment="1">
      <alignment horizontal="center"/>
    </xf>
    <xf numFmtId="164" fontId="12" fillId="0" borderId="15" xfId="0" applyNumberFormat="1" applyFont="1" applyBorder="1" applyAlignment="1">
      <alignment horizontal="center"/>
    </xf>
    <xf numFmtId="164" fontId="12" fillId="0" borderId="16" xfId="0" applyNumberFormat="1" applyFont="1" applyBorder="1" applyAlignment="1">
      <alignment horizontal="center"/>
    </xf>
    <xf numFmtId="164" fontId="12" fillId="0" borderId="17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/>
    </xf>
    <xf numFmtId="164" fontId="12" fillId="0" borderId="19" xfId="0" applyNumberFormat="1" applyFont="1" applyBorder="1" applyAlignment="1">
      <alignment horizontal="center"/>
    </xf>
    <xf numFmtId="0" fontId="7" fillId="6" borderId="0" xfId="0" applyFont="1" applyFill="1" applyAlignment="1">
      <alignment horizontal="right"/>
    </xf>
    <xf numFmtId="49" fontId="7" fillId="6" borderId="0" xfId="0" applyNumberFormat="1" applyFont="1" applyFill="1" applyAlignment="1">
      <alignment horizontal="right"/>
    </xf>
    <xf numFmtId="164" fontId="0" fillId="0" borderId="11" xfId="0" applyNumberFormat="1" applyBorder="1" applyAlignment="1"/>
    <xf numFmtId="49" fontId="0" fillId="0" borderId="11" xfId="0" applyNumberFormat="1" applyBorder="1" applyAlignment="1">
      <alignment horizontal="right"/>
    </xf>
    <xf numFmtId="20" fontId="1" fillId="7" borderId="11" xfId="0" applyNumberFormat="1" applyFont="1" applyFill="1" applyBorder="1" applyAlignment="1">
      <alignment horizontal="right"/>
    </xf>
    <xf numFmtId="0" fontId="1" fillId="7" borderId="0" xfId="0" applyFont="1" applyFill="1" applyAlignment="1"/>
    <xf numFmtId="0" fontId="8" fillId="7" borderId="0" xfId="0" applyFont="1" applyFill="1" applyAlignment="1"/>
    <xf numFmtId="49" fontId="0" fillId="3" borderId="0" xfId="0" applyNumberFormat="1" applyFill="1" applyAlignment="1">
      <alignment horizontal="left"/>
    </xf>
    <xf numFmtId="0" fontId="0" fillId="3" borderId="0" xfId="0" applyFill="1" applyAlignment="1">
      <alignment horizontal="right"/>
    </xf>
    <xf numFmtId="49" fontId="0" fillId="3" borderId="0" xfId="0" applyNumberFormat="1" applyFill="1" applyAlignment="1">
      <alignment horizontal="right"/>
    </xf>
    <xf numFmtId="0" fontId="0" fillId="2" borderId="0" xfId="0" applyFill="1" applyAlignment="1"/>
    <xf numFmtId="0" fontId="0" fillId="7" borderId="0" xfId="0" applyFill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10" fillId="6" borderId="5" xfId="0" applyFont="1" applyFill="1" applyBorder="1" applyAlignment="1">
      <alignment horizontal="left"/>
    </xf>
    <xf numFmtId="20" fontId="1" fillId="0" borderId="6" xfId="0" applyNumberFormat="1" applyFont="1" applyBorder="1" applyAlignment="1">
      <alignment horizontal="center"/>
    </xf>
    <xf numFmtId="20" fontId="1" fillId="0" borderId="9" xfId="0" applyNumberFormat="1" applyFont="1" applyBorder="1" applyAlignment="1">
      <alignment horizontal="center"/>
    </xf>
    <xf numFmtId="0" fontId="10" fillId="6" borderId="7" xfId="0" applyFont="1" applyFill="1" applyBorder="1" applyAlignment="1">
      <alignment horizontal="left"/>
    </xf>
    <xf numFmtId="20" fontId="1" fillId="0" borderId="4" xfId="0" applyNumberFormat="1" applyFont="1" applyBorder="1" applyAlignment="1">
      <alignment horizontal="center"/>
    </xf>
    <xf numFmtId="0" fontId="10" fillId="6" borderId="8" xfId="0" applyFont="1" applyFill="1" applyBorder="1" applyAlignment="1">
      <alignment horizontal="left"/>
    </xf>
    <xf numFmtId="20" fontId="1" fillId="0" borderId="3" xfId="0" applyNumberFormat="1" applyFont="1" applyBorder="1" applyAlignment="1">
      <alignment horizontal="center"/>
    </xf>
    <xf numFmtId="20" fontId="1" fillId="0" borderId="10" xfId="0" applyNumberFormat="1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7" fillId="5" borderId="20" xfId="0" applyFont="1" applyFill="1" applyBorder="1" applyAlignment="1">
      <alignment horizontal="center"/>
    </xf>
    <xf numFmtId="20" fontId="8" fillId="0" borderId="21" xfId="0" applyNumberFormat="1" applyFont="1" applyBorder="1" applyAlignment="1">
      <alignment horizontal="center"/>
    </xf>
    <xf numFmtId="20" fontId="8" fillId="0" borderId="2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0" fillId="0" borderId="2" xfId="0" applyNumberFormat="1" applyBorder="1" applyAlignment="1"/>
    <xf numFmtId="164" fontId="0" fillId="2" borderId="23" xfId="0" applyNumberFormat="1" applyFill="1" applyBorder="1" applyAlignment="1">
      <alignment horizontal="right"/>
    </xf>
    <xf numFmtId="164" fontId="0" fillId="2" borderId="24" xfId="0" applyNumberFormat="1" applyFill="1" applyBorder="1" applyAlignment="1">
      <alignment horizontal="right"/>
    </xf>
    <xf numFmtId="164" fontId="0" fillId="2" borderId="24" xfId="0" applyNumberFormat="1" applyFill="1" applyBorder="1" applyAlignment="1">
      <alignment horizontal="left"/>
    </xf>
    <xf numFmtId="164" fontId="0" fillId="2" borderId="27" xfId="0" applyNumberFormat="1" applyFill="1" applyBorder="1" applyAlignment="1">
      <alignment horizontal="left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49" fontId="7" fillId="8" borderId="0" xfId="0" applyNumberFormat="1" applyFont="1" applyFill="1" applyAlignment="1">
      <alignment horizontal="right"/>
    </xf>
    <xf numFmtId="0" fontId="0" fillId="0" borderId="0" xfId="0" applyNumberFormat="1" applyAlignment="1">
      <alignment horizontal="left"/>
    </xf>
    <xf numFmtId="164" fontId="0" fillId="2" borderId="24" xfId="0" applyNumberFormat="1" applyFill="1" applyBorder="1" applyAlignment="1"/>
    <xf numFmtId="0" fontId="0" fillId="0" borderId="0" xfId="0" applyNumberFormat="1" applyAlignment="1">
      <alignment horizontal="right"/>
    </xf>
    <xf numFmtId="0" fontId="0" fillId="0" borderId="0" xfId="0" applyNumberFormat="1"/>
    <xf numFmtId="0" fontId="5" fillId="0" borderId="0" xfId="0" applyNumberFormat="1" applyFont="1"/>
    <xf numFmtId="0" fontId="0" fillId="0" borderId="0" xfId="0" applyNumberFormat="1" applyBorder="1" applyAlignment="1"/>
    <xf numFmtId="0" fontId="0" fillId="0" borderId="3" xfId="0" applyNumberFormat="1" applyBorder="1" applyAlignment="1"/>
    <xf numFmtId="49" fontId="14" fillId="0" borderId="9" xfId="0" applyNumberFormat="1" applyFont="1" applyBorder="1" applyAlignment="1"/>
    <xf numFmtId="49" fontId="0" fillId="0" borderId="6" xfId="0" applyNumberFormat="1" applyBorder="1" applyAlignment="1"/>
    <xf numFmtId="0" fontId="0" fillId="0" borderId="8" xfId="0" applyNumberFormat="1" applyBorder="1" applyAlignment="1"/>
    <xf numFmtId="0" fontId="14" fillId="0" borderId="0" xfId="0" applyNumberFormat="1" applyFont="1" applyBorder="1" applyAlignment="1"/>
    <xf numFmtId="0" fontId="14" fillId="0" borderId="4" xfId="0" applyNumberFormat="1" applyFont="1" applyBorder="1" applyAlignment="1"/>
    <xf numFmtId="0" fontId="14" fillId="0" borderId="10" xfId="0" applyNumberFormat="1" applyFont="1" applyBorder="1" applyAlignment="1"/>
    <xf numFmtId="0" fontId="0" fillId="0" borderId="7" xfId="0" applyNumberFormat="1" applyBorder="1" applyAlignment="1"/>
    <xf numFmtId="49" fontId="0" fillId="0" borderId="5" xfId="0" applyNumberFormat="1" applyBorder="1" applyAlignment="1"/>
    <xf numFmtId="49" fontId="0" fillId="0" borderId="0" xfId="0" applyNumberFormat="1" applyBorder="1" applyAlignment="1"/>
    <xf numFmtId="49" fontId="14" fillId="0" borderId="0" xfId="0" applyNumberFormat="1" applyFont="1" applyBorder="1" applyAlignment="1"/>
    <xf numFmtId="0" fontId="0" fillId="0" borderId="0" xfId="0" applyNumberFormat="1" applyBorder="1"/>
    <xf numFmtId="49" fontId="0" fillId="0" borderId="0" xfId="0" applyNumberFormat="1" applyAlignment="1"/>
    <xf numFmtId="49" fontId="0" fillId="0" borderId="9" xfId="0" applyNumberFormat="1" applyBorder="1" applyAlignment="1">
      <alignment horizontal="right"/>
    </xf>
    <xf numFmtId="0" fontId="0" fillId="0" borderId="7" xfId="0" applyNumberFormat="1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4" xfId="0" applyNumberFormat="1" applyBorder="1" applyAlignment="1">
      <alignment horizontal="right"/>
    </xf>
    <xf numFmtId="0" fontId="0" fillId="0" borderId="3" xfId="0" applyNumberFormat="1" applyBorder="1" applyAlignment="1">
      <alignment horizontal="right"/>
    </xf>
    <xf numFmtId="0" fontId="0" fillId="0" borderId="10" xfId="0" applyNumberFormat="1" applyBorder="1" applyAlignment="1">
      <alignment horizontal="right"/>
    </xf>
    <xf numFmtId="49" fontId="0" fillId="7" borderId="0" xfId="0" applyNumberFormat="1" applyFill="1" applyAlignment="1"/>
    <xf numFmtId="0" fontId="0" fillId="10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0" fillId="6" borderId="0" xfId="0" applyNumberFormat="1" applyFont="1" applyFill="1" applyAlignment="1">
      <alignment horizontal="right"/>
    </xf>
    <xf numFmtId="0" fontId="10" fillId="6" borderId="0" xfId="0" applyFont="1" applyFill="1" applyAlignment="1">
      <alignment horizontal="right"/>
    </xf>
    <xf numFmtId="0" fontId="10" fillId="6" borderId="0" xfId="0" applyFont="1" applyFill="1" applyBorder="1" applyAlignment="1">
      <alignment horizontal="right"/>
    </xf>
    <xf numFmtId="164" fontId="0" fillId="9" borderId="25" xfId="0" applyNumberFormat="1" applyFill="1" applyBorder="1" applyAlignment="1">
      <alignment horizontal="center"/>
    </xf>
    <xf numFmtId="164" fontId="0" fillId="9" borderId="26" xfId="0" applyNumberFormat="1" applyFill="1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9" borderId="1" xfId="0" applyNumberFormat="1" applyFont="1" applyFill="1" applyBorder="1" applyAlignment="1">
      <alignment horizontal="center"/>
    </xf>
    <xf numFmtId="0" fontId="7" fillId="6" borderId="0" xfId="0" applyNumberFormat="1" applyFont="1" applyFill="1" applyAlignment="1">
      <alignment horizontal="left"/>
    </xf>
    <xf numFmtId="49" fontId="7" fillId="6" borderId="0" xfId="0" applyNumberFormat="1" applyFont="1" applyFill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15" fillId="7" borderId="33" xfId="0" applyNumberFormat="1" applyFont="1" applyFill="1" applyBorder="1" applyAlignment="1">
      <alignment horizontal="center"/>
    </xf>
    <xf numFmtId="49" fontId="15" fillId="7" borderId="34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49" fontId="1" fillId="7" borderId="0" xfId="0" applyNumberFormat="1" applyFont="1" applyFill="1" applyAlignment="1">
      <alignment horizontal="center"/>
    </xf>
    <xf numFmtId="0" fontId="6" fillId="3" borderId="1" xfId="0" applyNumberFormat="1" applyFont="1" applyFill="1" applyBorder="1" applyAlignment="1">
      <alignment horizontal="center"/>
    </xf>
    <xf numFmtId="49" fontId="7" fillId="6" borderId="0" xfId="0" applyNumberFormat="1" applyFont="1" applyFill="1" applyAlignment="1">
      <alignment horizontal="left"/>
    </xf>
  </cellXfs>
  <cellStyles count="1">
    <cellStyle name="Standard" xfId="0" builtinId="0"/>
  </cellStyles>
  <dxfs count="5">
    <dxf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rgb="FFFF0000"/>
      </font>
    </dxf>
    <dxf>
      <fill>
        <patternFill>
          <bgColor theme="0" tint="-0.49998474074526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695325</xdr:colOff>
      <xdr:row>36</xdr:row>
      <xdr:rowOff>142875</xdr:rowOff>
    </xdr:from>
    <xdr:to>
      <xdr:col>11</xdr:col>
      <xdr:colOff>1562100</xdr:colOff>
      <xdr:row>39</xdr:row>
      <xdr:rowOff>76200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B0A22DCD-8B72-9D37-030B-524A020131D3}"/>
            </a:ext>
          </a:extLst>
        </xdr:cNvPr>
        <xdr:cNvSpPr txBox="1"/>
      </xdr:nvSpPr>
      <xdr:spPr>
        <a:xfrm>
          <a:off x="8153400" y="7000875"/>
          <a:ext cx="314325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000">
              <a:solidFill>
                <a:srgbClr val="FF0000"/>
              </a:solidFill>
            </a:rPr>
            <a:t>als "Inhalte</a:t>
          </a:r>
          <a:r>
            <a:rPr lang="de-DE" sz="2000" baseline="0">
              <a:solidFill>
                <a:srgbClr val="FF0000"/>
              </a:solidFill>
            </a:rPr>
            <a:t> einfügen" -&gt; Text</a:t>
          </a:r>
          <a:endParaRPr lang="de-DE" sz="20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53C0-94E6-4A36-9E8F-1CCA592F35D5}">
  <dimension ref="A1:BN51"/>
  <sheetViews>
    <sheetView tabSelected="1" workbookViewId="0">
      <selection activeCell="R41" sqref="R41"/>
    </sheetView>
  </sheetViews>
  <sheetFormatPr baseColWidth="10" defaultRowHeight="15" x14ac:dyDescent="0.25"/>
  <cols>
    <col min="1" max="1" width="6.42578125" style="2" customWidth="1"/>
    <col min="2" max="2" width="13.5703125" style="5" customWidth="1"/>
    <col min="3" max="3" width="6.5703125" style="5" bestFit="1" customWidth="1"/>
    <col min="4" max="13" width="3.85546875" style="5" customWidth="1"/>
    <col min="14" max="41" width="3.85546875" customWidth="1"/>
    <col min="42" max="45" width="4" customWidth="1"/>
    <col min="46" max="46" width="6.42578125" style="16" customWidth="1"/>
    <col min="47" max="47" width="5" customWidth="1"/>
    <col min="48" max="48" width="7.5703125" style="41" bestFit="1" customWidth="1"/>
    <col min="49" max="49" width="7.5703125" style="41" customWidth="1"/>
    <col min="50" max="52" width="5" customWidth="1"/>
    <col min="53" max="53" width="10.7109375" style="2" bestFit="1" customWidth="1"/>
    <col min="54" max="54" width="7.7109375" style="49" customWidth="1"/>
    <col min="55" max="64" width="6.28515625" customWidth="1"/>
    <col min="65" max="65" width="57.140625" customWidth="1"/>
    <col min="66" max="66" width="47.85546875" customWidth="1"/>
    <col min="67" max="85" width="5" customWidth="1"/>
  </cols>
  <sheetData>
    <row r="1" spans="1:66" s="4" customFormat="1" x14ac:dyDescent="0.25">
      <c r="A1" s="2"/>
      <c r="B1" s="5">
        <v>1.388888888888884E-2</v>
      </c>
      <c r="C1" s="5" t="s">
        <v>52</v>
      </c>
      <c r="D1" s="5"/>
      <c r="E1" s="148" t="s">
        <v>61</v>
      </c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AT1" s="14"/>
      <c r="AV1" s="55"/>
      <c r="AW1" s="55"/>
      <c r="BA1" s="2"/>
      <c r="BB1" s="49"/>
    </row>
    <row r="2" spans="1:66" s="4" customFormat="1" ht="14.25" customHeight="1" x14ac:dyDescent="0.25">
      <c r="A2" s="2"/>
      <c r="B2" s="5"/>
      <c r="C2" s="5"/>
      <c r="D2" s="5"/>
      <c r="E2" s="148" t="s">
        <v>62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AT2" s="14"/>
      <c r="AV2" s="55"/>
      <c r="AW2" s="55"/>
      <c r="BA2" s="2"/>
      <c r="BB2" s="49"/>
    </row>
    <row r="3" spans="1:66" s="4" customFormat="1" ht="14.25" customHeight="1" x14ac:dyDescent="0.25">
      <c r="A3" s="2"/>
      <c r="B3" s="4" t="s">
        <v>54</v>
      </c>
      <c r="D3" s="5"/>
      <c r="E3" s="148" t="s">
        <v>63</v>
      </c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AN3" s="62"/>
      <c r="AT3" s="14"/>
      <c r="AV3" s="55"/>
      <c r="AW3" s="16" t="str">
        <f>IF(AS21=$AT$10,"",IF(AS8&gt;$C$7,$AT$10,IFERROR(IF(AT10-$AU$8&lt;0,"",AT10-$AU$8),"")))</f>
        <v/>
      </c>
      <c r="BA3" s="2"/>
      <c r="BB3" s="49"/>
    </row>
    <row r="4" spans="1:66" s="4" customFormat="1" ht="14.25" customHeight="1" x14ac:dyDescent="0.25">
      <c r="A4" s="2"/>
      <c r="B4" s="5"/>
      <c r="C4" s="5"/>
      <c r="D4" s="5"/>
      <c r="E4" s="148" t="s">
        <v>64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AD4" s="147" t="s">
        <v>92</v>
      </c>
      <c r="AE4" s="147"/>
      <c r="AF4" s="147"/>
      <c r="AL4" s="147" t="s">
        <v>92</v>
      </c>
      <c r="AM4" s="147"/>
      <c r="AN4" s="147"/>
      <c r="AR4" s="147" t="s">
        <v>92</v>
      </c>
      <c r="AS4" s="147"/>
      <c r="AT4" s="147"/>
      <c r="AV4" s="55"/>
      <c r="AW4" s="55"/>
      <c r="BA4" s="2"/>
      <c r="BB4" s="49"/>
    </row>
    <row r="5" spans="1:66" s="4" customFormat="1" ht="14.25" customHeight="1" x14ac:dyDescent="0.25">
      <c r="A5" s="151" t="s">
        <v>53</v>
      </c>
      <c r="B5" s="152"/>
      <c r="C5" s="85">
        <v>1.5</v>
      </c>
      <c r="J5" s="5"/>
      <c r="K5" s="5"/>
      <c r="L5" s="5"/>
      <c r="M5" s="5"/>
      <c r="AE5" s="21" t="s">
        <v>6</v>
      </c>
      <c r="AI5" s="15"/>
      <c r="AJ5" s="15"/>
      <c r="AK5" s="15"/>
      <c r="AL5" s="15"/>
      <c r="AM5" s="21" t="s">
        <v>5</v>
      </c>
      <c r="AN5" s="15"/>
      <c r="AO5" s="15"/>
      <c r="AQ5" s="15"/>
      <c r="AR5" s="15"/>
      <c r="AS5" s="21" t="s">
        <v>0</v>
      </c>
      <c r="AT5" s="14"/>
      <c r="AV5" s="55"/>
      <c r="AW5" s="55"/>
      <c r="BA5" s="2"/>
      <c r="BB5" s="49"/>
    </row>
    <row r="6" spans="1:66" s="4" customFormat="1" ht="14.25" customHeight="1" x14ac:dyDescent="0.25">
      <c r="A6" s="83"/>
      <c r="B6" s="84" t="s">
        <v>58</v>
      </c>
      <c r="C6" s="86" t="s">
        <v>51</v>
      </c>
      <c r="D6" s="10">
        <f t="shared" ref="D6:AR6" si="0">IF(D8&gt;$C$7,1,0)</f>
        <v>0</v>
      </c>
      <c r="E6" s="10">
        <f t="shared" si="0"/>
        <v>0</v>
      </c>
      <c r="F6" s="10">
        <f t="shared" si="0"/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>
        <f t="shared" si="0"/>
        <v>0</v>
      </c>
      <c r="N6" s="10">
        <f t="shared" si="0"/>
        <v>0</v>
      </c>
      <c r="O6" s="10">
        <f t="shared" si="0"/>
        <v>0</v>
      </c>
      <c r="P6" s="10">
        <f t="shared" si="0"/>
        <v>0</v>
      </c>
      <c r="Q6" s="10">
        <f t="shared" si="0"/>
        <v>0</v>
      </c>
      <c r="R6" s="10">
        <f t="shared" si="0"/>
        <v>0</v>
      </c>
      <c r="S6" s="10">
        <f t="shared" si="0"/>
        <v>0</v>
      </c>
      <c r="T6" s="10">
        <f t="shared" si="0"/>
        <v>0</v>
      </c>
      <c r="U6" s="10">
        <f t="shared" si="0"/>
        <v>0</v>
      </c>
      <c r="V6" s="10">
        <f t="shared" si="0"/>
        <v>0</v>
      </c>
      <c r="W6" s="10">
        <f t="shared" si="0"/>
        <v>0</v>
      </c>
      <c r="X6" s="10">
        <f t="shared" si="0"/>
        <v>0</v>
      </c>
      <c r="Y6" s="10">
        <f t="shared" si="0"/>
        <v>0</v>
      </c>
      <c r="Z6" s="10">
        <f t="shared" si="0"/>
        <v>0</v>
      </c>
      <c r="AA6" s="10">
        <f t="shared" si="0"/>
        <v>0</v>
      </c>
      <c r="AB6" s="10">
        <f t="shared" si="0"/>
        <v>0</v>
      </c>
      <c r="AC6" s="10">
        <f t="shared" si="0"/>
        <v>0</v>
      </c>
      <c r="AD6" s="10">
        <f t="shared" si="0"/>
        <v>0</v>
      </c>
      <c r="AE6" s="10">
        <f t="shared" si="0"/>
        <v>0</v>
      </c>
      <c r="AF6" s="10">
        <f t="shared" si="0"/>
        <v>0</v>
      </c>
      <c r="AG6" s="10">
        <f t="shared" si="0"/>
        <v>0</v>
      </c>
      <c r="AH6" s="10">
        <f t="shared" si="0"/>
        <v>0</v>
      </c>
      <c r="AI6" s="10">
        <f t="shared" si="0"/>
        <v>0</v>
      </c>
      <c r="AJ6" s="10">
        <f t="shared" si="0"/>
        <v>0</v>
      </c>
      <c r="AK6" s="10">
        <f t="shared" si="0"/>
        <v>0</v>
      </c>
      <c r="AL6" s="10">
        <f t="shared" si="0"/>
        <v>0</v>
      </c>
      <c r="AM6" s="10">
        <f t="shared" si="0"/>
        <v>1</v>
      </c>
      <c r="AN6" s="10">
        <f t="shared" si="0"/>
        <v>1</v>
      </c>
      <c r="AO6" s="10">
        <f t="shared" si="0"/>
        <v>1</v>
      </c>
      <c r="AP6" s="10">
        <f t="shared" si="0"/>
        <v>1</v>
      </c>
      <c r="AQ6" s="10">
        <f t="shared" si="0"/>
        <v>1</v>
      </c>
      <c r="AR6" s="10">
        <f t="shared" si="0"/>
        <v>1</v>
      </c>
      <c r="AS6" s="10">
        <f>IF(AS8&gt;$C$7,1,0)</f>
        <v>1</v>
      </c>
      <c r="AT6" s="14"/>
      <c r="AV6" s="55"/>
      <c r="AW6" s="55"/>
      <c r="BA6" s="2"/>
      <c r="BB6" s="49"/>
    </row>
    <row r="7" spans="1:66" s="10" customFormat="1" ht="14.25" customHeight="1" x14ac:dyDescent="0.25">
      <c r="A7" s="150" t="s">
        <v>50</v>
      </c>
      <c r="B7" s="150"/>
      <c r="C7" s="87">
        <v>0.58333333333333359</v>
      </c>
      <c r="D7" s="149">
        <f t="shared" ref="D7" si="1">G7+1</f>
        <v>14</v>
      </c>
      <c r="E7" s="149"/>
      <c r="F7" s="149"/>
      <c r="G7" s="149">
        <f t="shared" ref="G7" si="2">J7+1</f>
        <v>13</v>
      </c>
      <c r="H7" s="149"/>
      <c r="I7" s="149"/>
      <c r="J7" s="149">
        <f t="shared" ref="J7" si="3">M7+1</f>
        <v>12</v>
      </c>
      <c r="K7" s="149"/>
      <c r="L7" s="149"/>
      <c r="M7" s="149">
        <f t="shared" ref="M7" si="4">P7+1</f>
        <v>11</v>
      </c>
      <c r="N7" s="149"/>
      <c r="O7" s="149"/>
      <c r="P7" s="149">
        <f t="shared" ref="P7" si="5">S7+1</f>
        <v>10</v>
      </c>
      <c r="Q7" s="149"/>
      <c r="R7" s="149"/>
      <c r="S7" s="149">
        <f t="shared" ref="S7" si="6">V7+1</f>
        <v>9</v>
      </c>
      <c r="T7" s="149"/>
      <c r="U7" s="149"/>
      <c r="V7" s="149">
        <f t="shared" ref="V7" si="7">Y7+1</f>
        <v>8</v>
      </c>
      <c r="W7" s="149"/>
      <c r="X7" s="149"/>
      <c r="Y7" s="149">
        <f t="shared" ref="Y7" si="8">AB7+1</f>
        <v>7</v>
      </c>
      <c r="Z7" s="149"/>
      <c r="AA7" s="149"/>
      <c r="AB7" s="149">
        <f t="shared" ref="AB7" si="9">AE7+1</f>
        <v>6</v>
      </c>
      <c r="AC7" s="149"/>
      <c r="AD7" s="149"/>
      <c r="AE7" s="149">
        <f t="shared" ref="AE7" si="10">AH7+1</f>
        <v>5</v>
      </c>
      <c r="AF7" s="149"/>
      <c r="AG7" s="149"/>
      <c r="AH7" s="149">
        <f t="shared" ref="AH7" si="11">AK7+1</f>
        <v>4</v>
      </c>
      <c r="AI7" s="149"/>
      <c r="AJ7" s="149"/>
      <c r="AK7" s="149">
        <f t="shared" ref="AK7" si="12">AN7+1</f>
        <v>3</v>
      </c>
      <c r="AL7" s="149"/>
      <c r="AM7" s="149"/>
      <c r="AN7" s="149">
        <f>AQ7+1</f>
        <v>2</v>
      </c>
      <c r="AO7" s="149"/>
      <c r="AP7" s="149"/>
      <c r="AQ7" s="149">
        <v>1</v>
      </c>
      <c r="AR7" s="149"/>
      <c r="AS7" s="149"/>
      <c r="AV7" s="56"/>
      <c r="AW7" s="56"/>
      <c r="BA7" s="9"/>
      <c r="BB7" s="50"/>
      <c r="BL7" s="47" t="s">
        <v>30</v>
      </c>
    </row>
    <row r="8" spans="1:66" s="1" customFormat="1" ht="57" customHeight="1" thickBot="1" x14ac:dyDescent="0.3">
      <c r="A8" s="17"/>
      <c r="B8" s="48" t="s">
        <v>37</v>
      </c>
      <c r="C8" s="7"/>
      <c r="D8" s="7">
        <f t="shared" ref="D8:G8" si="13">E8-0.0138888888888888</f>
        <v>0.1021412037037045</v>
      </c>
      <c r="E8" s="7">
        <f t="shared" si="13"/>
        <v>0.1160300925925933</v>
      </c>
      <c r="F8" s="7">
        <f t="shared" si="13"/>
        <v>0.12991898148148209</v>
      </c>
      <c r="G8" s="7">
        <f t="shared" si="13"/>
        <v>0.1438078703703709</v>
      </c>
      <c r="H8" s="7">
        <f t="shared" ref="H8:L8" si="14">I8-0.0138888888888888</f>
        <v>0.15769675925925972</v>
      </c>
      <c r="I8" s="7">
        <f t="shared" si="14"/>
        <v>0.17158564814814853</v>
      </c>
      <c r="J8" s="7">
        <f t="shared" si="14"/>
        <v>0.18547453703703734</v>
      </c>
      <c r="K8" s="7">
        <f t="shared" si="14"/>
        <v>0.19936342592592615</v>
      </c>
      <c r="L8" s="7">
        <f t="shared" si="14"/>
        <v>0.21325231481481496</v>
      </c>
      <c r="M8" s="7">
        <f>N8-0.0138888888888888</f>
        <v>0.22714120370370378</v>
      </c>
      <c r="N8" s="7">
        <v>0.24103009259259259</v>
      </c>
      <c r="O8" s="7">
        <v>0.2549189814814814</v>
      </c>
      <c r="P8" s="7">
        <v>0.26880787037037018</v>
      </c>
      <c r="Q8" s="7">
        <v>0.28269675925925897</v>
      </c>
      <c r="R8" s="7">
        <v>0.29658564814814775</v>
      </c>
      <c r="S8" s="7">
        <v>0.31047453703703654</v>
      </c>
      <c r="T8" s="7">
        <v>0.32436342592592532</v>
      </c>
      <c r="U8" s="7">
        <v>0.3382523148148141</v>
      </c>
      <c r="V8" s="7">
        <v>0.35214120370370289</v>
      </c>
      <c r="W8" s="7">
        <v>0.36603009259259167</v>
      </c>
      <c r="X8" s="7">
        <v>0.37991898148148046</v>
      </c>
      <c r="Y8" s="7">
        <v>0.39380787037036924</v>
      </c>
      <c r="Z8" s="7">
        <v>0.40769675925925802</v>
      </c>
      <c r="AA8" s="7">
        <v>0.42158564814814681</v>
      </c>
      <c r="AB8" s="7">
        <v>0.43547453703703559</v>
      </c>
      <c r="AC8" s="7">
        <v>0.44936342592592438</v>
      </c>
      <c r="AD8" s="7">
        <v>0.46325231481481316</v>
      </c>
      <c r="AE8" s="7">
        <v>0.47714120370370194</v>
      </c>
      <c r="AF8" s="7">
        <v>0.49103009259259073</v>
      </c>
      <c r="AG8" s="7">
        <v>0.50491898148147951</v>
      </c>
      <c r="AH8" s="7">
        <v>0.51880787037036835</v>
      </c>
      <c r="AI8" s="7">
        <v>0.53269675925925719</v>
      </c>
      <c r="AJ8" s="7">
        <v>0.54658564814814603</v>
      </c>
      <c r="AK8" s="7">
        <v>0.56047453703703487</v>
      </c>
      <c r="AL8" s="7">
        <v>0.57436342592592371</v>
      </c>
      <c r="AM8" s="7">
        <v>0.58825231481481255</v>
      </c>
      <c r="AN8" s="7">
        <v>0.60214120370370139</v>
      </c>
      <c r="AO8" s="7">
        <f>AN8+0.0138888888888888</f>
        <v>0.61603009259259023</v>
      </c>
      <c r="AP8" s="7">
        <f t="shared" ref="AP8:AS8" si="15">AO8+0.0138888888888888</f>
        <v>0.62991898148147907</v>
      </c>
      <c r="AQ8" s="7">
        <f t="shared" si="15"/>
        <v>0.64380787037036791</v>
      </c>
      <c r="AR8" s="7">
        <f t="shared" si="15"/>
        <v>0.65769675925925675</v>
      </c>
      <c r="AS8" s="7">
        <f t="shared" si="15"/>
        <v>0.67158564814814559</v>
      </c>
      <c r="AT8" s="2" t="s">
        <v>4</v>
      </c>
      <c r="AU8" s="8">
        <f>1/3</f>
        <v>0.33333333333333331</v>
      </c>
      <c r="AV8" s="57"/>
      <c r="AW8" s="57"/>
      <c r="BA8" s="94" t="s">
        <v>31</v>
      </c>
      <c r="BC8" s="93" t="s">
        <v>59</v>
      </c>
      <c r="BD8" s="105">
        <v>0</v>
      </c>
      <c r="BE8" s="105">
        <v>2</v>
      </c>
      <c r="BF8" s="105">
        <v>4</v>
      </c>
      <c r="BG8" s="105">
        <v>6</v>
      </c>
      <c r="BH8" s="105">
        <v>8</v>
      </c>
      <c r="BI8" s="105">
        <v>10</v>
      </c>
      <c r="BJ8" s="105">
        <v>12</v>
      </c>
      <c r="BK8" s="105">
        <v>14</v>
      </c>
      <c r="BL8" s="105">
        <v>16</v>
      </c>
      <c r="BM8" s="88" t="s">
        <v>32</v>
      </c>
      <c r="BN8" s="49" t="s">
        <v>34</v>
      </c>
    </row>
    <row r="9" spans="1:66" s="4" customFormat="1" ht="18" customHeight="1" x14ac:dyDescent="0.25">
      <c r="A9" s="3" t="s">
        <v>0</v>
      </c>
      <c r="B9" s="12" t="s">
        <v>1</v>
      </c>
      <c r="C9" s="53" t="s">
        <v>2</v>
      </c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3" t="s">
        <v>66</v>
      </c>
      <c r="Y9" s="112"/>
      <c r="Z9" s="112"/>
      <c r="AA9" s="153">
        <v>6</v>
      </c>
      <c r="AB9" s="154"/>
      <c r="AC9" s="122" t="s">
        <v>3</v>
      </c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13"/>
      <c r="AR9" s="113"/>
      <c r="AS9" s="114"/>
      <c r="AT9" s="109" t="s">
        <v>40</v>
      </c>
      <c r="AU9" s="60" t="s">
        <v>36</v>
      </c>
      <c r="AV9" s="60" t="s">
        <v>39</v>
      </c>
      <c r="AW9" s="61"/>
      <c r="AY9" s="8"/>
      <c r="AZ9" s="58" t="s">
        <v>38</v>
      </c>
      <c r="BA9" s="106" t="str">
        <f>"bei: "&amp;AA9</f>
        <v>bei: 6</v>
      </c>
      <c r="BB9" s="91" t="s">
        <v>60</v>
      </c>
      <c r="BC9" s="104" t="s">
        <v>20</v>
      </c>
      <c r="BD9" s="51" t="s">
        <v>21</v>
      </c>
      <c r="BE9" s="51" t="s">
        <v>22</v>
      </c>
      <c r="BF9" s="51" t="s">
        <v>23</v>
      </c>
      <c r="BG9" s="51" t="s">
        <v>24</v>
      </c>
      <c r="BH9" s="51" t="s">
        <v>25</v>
      </c>
      <c r="BI9" s="51" t="s">
        <v>26</v>
      </c>
      <c r="BJ9" s="51" t="s">
        <v>27</v>
      </c>
      <c r="BK9" s="51" t="s">
        <v>28</v>
      </c>
      <c r="BL9" s="51" t="s">
        <v>29</v>
      </c>
      <c r="BM9" s="89" t="s">
        <v>33</v>
      </c>
      <c r="BN9" s="4" t="s">
        <v>35</v>
      </c>
    </row>
    <row r="10" spans="1:66" s="4" customFormat="1" x14ac:dyDescent="0.25">
      <c r="A10" s="3">
        <v>1</v>
      </c>
      <c r="B10" s="13" t="s">
        <v>41</v>
      </c>
      <c r="C10" s="54">
        <v>0.6</v>
      </c>
      <c r="D10" s="115" t="str">
        <f t="shared" ref="D10:AR10" si="16">IF(D21=$AT$10,"",D21)</f>
        <v/>
      </c>
      <c r="E10" s="8" t="str">
        <f t="shared" si="16"/>
        <v/>
      </c>
      <c r="F10" s="8" t="str">
        <f t="shared" si="16"/>
        <v/>
      </c>
      <c r="G10" s="8" t="str">
        <f t="shared" si="16"/>
        <v/>
      </c>
      <c r="H10" s="8" t="str">
        <f t="shared" si="16"/>
        <v/>
      </c>
      <c r="I10" s="8" t="str">
        <f t="shared" si="16"/>
        <v/>
      </c>
      <c r="J10" s="8" t="str">
        <f t="shared" si="16"/>
        <v/>
      </c>
      <c r="K10" s="8" t="str">
        <f t="shared" si="16"/>
        <v/>
      </c>
      <c r="L10" s="8" t="str">
        <f t="shared" si="16"/>
        <v/>
      </c>
      <c r="M10" s="8" t="str">
        <f t="shared" si="16"/>
        <v/>
      </c>
      <c r="N10" s="8" t="str">
        <f t="shared" si="16"/>
        <v/>
      </c>
      <c r="O10" s="8" t="str">
        <f t="shared" si="16"/>
        <v/>
      </c>
      <c r="P10" s="8" t="str">
        <f t="shared" si="16"/>
        <v/>
      </c>
      <c r="Q10" s="8" t="str">
        <f t="shared" si="16"/>
        <v/>
      </c>
      <c r="R10" s="8" t="str">
        <f t="shared" si="16"/>
        <v/>
      </c>
      <c r="S10" s="8" t="str">
        <f t="shared" si="16"/>
        <v/>
      </c>
      <c r="T10" s="8" t="str">
        <f t="shared" si="16"/>
        <v/>
      </c>
      <c r="U10" s="8" t="str">
        <f t="shared" si="16"/>
        <v/>
      </c>
      <c r="V10" s="8">
        <f t="shared" si="16"/>
        <v>5.333333333333401E-2</v>
      </c>
      <c r="W10" s="8">
        <f t="shared" si="16"/>
        <v>0.38666666666666732</v>
      </c>
      <c r="X10" s="8">
        <f t="shared" si="16"/>
        <v>0.72000000000000064</v>
      </c>
      <c r="Y10" s="8">
        <f t="shared" si="16"/>
        <v>1.0533333333333339</v>
      </c>
      <c r="Z10" s="8">
        <f t="shared" si="16"/>
        <v>1.3866666666666672</v>
      </c>
      <c r="AA10" s="8">
        <f t="shared" si="16"/>
        <v>1.7200000000000004</v>
      </c>
      <c r="AB10" s="8">
        <f t="shared" si="16"/>
        <v>2.0533333333333337</v>
      </c>
      <c r="AC10" s="8">
        <f t="shared" si="16"/>
        <v>2.3866666666666672</v>
      </c>
      <c r="AD10" s="8">
        <f t="shared" si="16"/>
        <v>2.7200000000000006</v>
      </c>
      <c r="AE10" s="8">
        <f t="shared" si="16"/>
        <v>3.0533333333333341</v>
      </c>
      <c r="AF10" s="8">
        <f t="shared" si="16"/>
        <v>3.3866666666666676</v>
      </c>
      <c r="AG10" s="8">
        <f t="shared" si="16"/>
        <v>3.7200000000000011</v>
      </c>
      <c r="AH10" s="8">
        <f t="shared" si="16"/>
        <v>4.0533333333333346</v>
      </c>
      <c r="AI10" s="8">
        <f t="shared" si="16"/>
        <v>4.3866666666666676</v>
      </c>
      <c r="AJ10" s="8">
        <f t="shared" si="16"/>
        <v>4.7200000000000006</v>
      </c>
      <c r="AK10" s="8">
        <f t="shared" si="16"/>
        <v>5.0533333333333337</v>
      </c>
      <c r="AL10" s="8">
        <f t="shared" si="16"/>
        <v>5.3866666666666667</v>
      </c>
      <c r="AM10" s="8" t="str">
        <f t="shared" si="16"/>
        <v/>
      </c>
      <c r="AN10" s="8" t="str">
        <f t="shared" si="16"/>
        <v/>
      </c>
      <c r="AO10" s="8" t="str">
        <f t="shared" si="16"/>
        <v/>
      </c>
      <c r="AP10" s="8" t="str">
        <f t="shared" si="16"/>
        <v/>
      </c>
      <c r="AQ10" s="8" t="str">
        <f t="shared" si="16"/>
        <v/>
      </c>
      <c r="AR10" s="8" t="str">
        <f t="shared" si="16"/>
        <v/>
      </c>
      <c r="AS10" s="116" t="str">
        <f>IF(AS21=$AT$10,"",AS21)</f>
        <v/>
      </c>
      <c r="AT10" s="110">
        <f t="shared" ref="AT10:AT18" si="17">($C$6-$AA$9)*C10/C$5</f>
        <v>5.72</v>
      </c>
      <c r="AU10" s="18">
        <f t="shared" ref="AU10:AU18" si="18">AT10*$C$5</f>
        <v>8.58</v>
      </c>
      <c r="AV10" s="18">
        <f t="shared" ref="AV10:AV18" si="19">AT10*2.3</f>
        <v>13.155999999999999</v>
      </c>
      <c r="AW10" s="11"/>
      <c r="AY10" s="11"/>
      <c r="AZ10" s="59">
        <f t="shared" ref="AZ10:AZ18" si="20">MIN(D21:AR21)</f>
        <v>5.333333333333401E-2</v>
      </c>
      <c r="BA10" s="107">
        <f t="shared" ref="BA10:BA18" si="21">_xlfn.XLOOKUP(AZ10,D21:AS21,$D$8:$AS$8,0,0,1)</f>
        <v>0.35214120370370289</v>
      </c>
      <c r="BB10" s="92" t="str">
        <f>B10</f>
        <v>&gt;=15</v>
      </c>
      <c r="BC10" s="96" t="s">
        <v>19</v>
      </c>
      <c r="BD10" s="97"/>
      <c r="BE10" s="97"/>
      <c r="BF10" s="97"/>
      <c r="BG10" s="97"/>
      <c r="BH10" s="97"/>
      <c r="BI10" s="97"/>
      <c r="BJ10" s="97"/>
      <c r="BK10" s="97"/>
      <c r="BL10" s="98"/>
      <c r="BM10" s="52" t="str">
        <f>TEXT(BC10,"hh:mm")&amp;";"&amp;TEXT(BD10,"hh:mm")&amp;";"&amp;TEXT(BE10,"hh:mm")&amp;";"&amp;TEXT(BF10,"hh:mm")&amp;";"&amp;TEXT(BG10,"hh:mm")&amp;";"&amp;TEXT(BH10,"hh:mm")&amp;";"&amp;TEXT(BI10,"hh:mm")&amp;";"&amp;TEXT(BJ10,"hh:mm")&amp;";"&amp;TEXT(BK10,"hh:mm")&amp;";"&amp;TEXT(BL10,"hh:mm")</f>
        <v>ZuKalt;00:00;00:00;00:00;00:00;00:00;00:00;00:00;00:00;00:00</v>
      </c>
      <c r="BN10" s="90" t="str">
        <f>BB10</f>
        <v>&gt;=15</v>
      </c>
    </row>
    <row r="11" spans="1:66" s="4" customFormat="1" x14ac:dyDescent="0.25">
      <c r="A11" s="3">
        <v>2</v>
      </c>
      <c r="B11" s="13" t="s">
        <v>42</v>
      </c>
      <c r="C11" s="54">
        <v>0.65</v>
      </c>
      <c r="D11" s="115" t="str">
        <f t="shared" ref="D11:AR11" si="22">IF(D22=$AT$11,"",D22)</f>
        <v/>
      </c>
      <c r="E11" s="8" t="str">
        <f t="shared" si="22"/>
        <v/>
      </c>
      <c r="F11" s="8" t="str">
        <f t="shared" si="22"/>
        <v/>
      </c>
      <c r="G11" s="8" t="str">
        <f t="shared" si="22"/>
        <v/>
      </c>
      <c r="H11" s="8" t="str">
        <f t="shared" si="22"/>
        <v/>
      </c>
      <c r="I11" s="8" t="str">
        <f t="shared" si="22"/>
        <v/>
      </c>
      <c r="J11" s="8" t="str">
        <f t="shared" si="22"/>
        <v/>
      </c>
      <c r="K11" s="8" t="str">
        <f t="shared" si="22"/>
        <v/>
      </c>
      <c r="L11" s="8" t="str">
        <f t="shared" si="22"/>
        <v/>
      </c>
      <c r="M11" s="8" t="str">
        <f t="shared" si="22"/>
        <v/>
      </c>
      <c r="N11" s="8" t="str">
        <f t="shared" si="22"/>
        <v/>
      </c>
      <c r="O11" s="8" t="str">
        <f t="shared" si="22"/>
        <v/>
      </c>
      <c r="P11" s="8" t="str">
        <f t="shared" si="22"/>
        <v/>
      </c>
      <c r="Q11" s="8" t="str">
        <f t="shared" si="22"/>
        <v/>
      </c>
      <c r="R11" s="8" t="str">
        <f t="shared" si="22"/>
        <v/>
      </c>
      <c r="S11" s="8" t="str">
        <f t="shared" si="22"/>
        <v/>
      </c>
      <c r="T11" s="8" t="str">
        <f t="shared" si="22"/>
        <v/>
      </c>
      <c r="U11" s="8">
        <f t="shared" si="22"/>
        <v>0.1966666666666676</v>
      </c>
      <c r="V11" s="8">
        <f t="shared" si="22"/>
        <v>0.53000000000000091</v>
      </c>
      <c r="W11" s="8">
        <f t="shared" si="22"/>
        <v>0.86333333333333417</v>
      </c>
      <c r="X11" s="8">
        <f t="shared" si="22"/>
        <v>1.1966666666666674</v>
      </c>
      <c r="Y11" s="8">
        <f t="shared" si="22"/>
        <v>1.5300000000000007</v>
      </c>
      <c r="Z11" s="8">
        <f t="shared" si="22"/>
        <v>1.863333333333334</v>
      </c>
      <c r="AA11" s="8">
        <f t="shared" si="22"/>
        <v>2.1966666666666672</v>
      </c>
      <c r="AB11" s="8">
        <f t="shared" si="22"/>
        <v>2.5300000000000007</v>
      </c>
      <c r="AC11" s="8">
        <f t="shared" si="22"/>
        <v>2.8633333333333342</v>
      </c>
      <c r="AD11" s="8">
        <f t="shared" si="22"/>
        <v>3.1966666666666677</v>
      </c>
      <c r="AE11" s="8">
        <f t="shared" si="22"/>
        <v>3.5300000000000011</v>
      </c>
      <c r="AF11" s="8">
        <f t="shared" si="22"/>
        <v>3.8633333333333346</v>
      </c>
      <c r="AG11" s="8">
        <f t="shared" si="22"/>
        <v>4.1966666666666681</v>
      </c>
      <c r="AH11" s="8">
        <f t="shared" si="22"/>
        <v>4.5300000000000011</v>
      </c>
      <c r="AI11" s="8">
        <f t="shared" si="22"/>
        <v>4.8633333333333342</v>
      </c>
      <c r="AJ11" s="8">
        <f t="shared" si="22"/>
        <v>5.1966666666666672</v>
      </c>
      <c r="AK11" s="8">
        <f t="shared" si="22"/>
        <v>5.53</v>
      </c>
      <c r="AL11" s="8">
        <f t="shared" si="22"/>
        <v>5.8633333333333333</v>
      </c>
      <c r="AM11" s="8" t="str">
        <f t="shared" si="22"/>
        <v/>
      </c>
      <c r="AN11" s="8" t="str">
        <f t="shared" si="22"/>
        <v/>
      </c>
      <c r="AO11" s="8" t="str">
        <f t="shared" si="22"/>
        <v/>
      </c>
      <c r="AP11" s="8" t="str">
        <f t="shared" si="22"/>
        <v/>
      </c>
      <c r="AQ11" s="8" t="str">
        <f t="shared" si="22"/>
        <v/>
      </c>
      <c r="AR11" s="8" t="str">
        <f t="shared" si="22"/>
        <v/>
      </c>
      <c r="AS11" s="116" t="str">
        <f>IF(AS22=$AT$11,"",AS22)</f>
        <v/>
      </c>
      <c r="AT11" s="110">
        <f t="shared" si="17"/>
        <v>6.1966666666666663</v>
      </c>
      <c r="AU11" s="18">
        <f t="shared" si="18"/>
        <v>9.2949999999999999</v>
      </c>
      <c r="AV11" s="18">
        <f t="shared" si="19"/>
        <v>14.252333333333331</v>
      </c>
      <c r="AW11" s="11"/>
      <c r="AY11" s="11"/>
      <c r="AZ11" s="59">
        <f t="shared" si="20"/>
        <v>0.1966666666666676</v>
      </c>
      <c r="BA11" s="107">
        <f t="shared" si="21"/>
        <v>0.3382523148148141</v>
      </c>
      <c r="BB11" s="92" t="str">
        <f t="shared" ref="BB11:BB18" si="23">B11</f>
        <v>&gt;=14</v>
      </c>
      <c r="BC11" s="99" t="s">
        <v>19</v>
      </c>
      <c r="BD11" s="95"/>
      <c r="BE11" s="95"/>
      <c r="BF11" s="95"/>
      <c r="BG11" s="95"/>
      <c r="BH11" s="95"/>
      <c r="BI11" s="95"/>
      <c r="BJ11" s="95"/>
      <c r="BK11" s="95"/>
      <c r="BL11" s="100"/>
      <c r="BM11" s="52" t="str">
        <f t="shared" ref="BM11:BM18" si="24">TEXT(BC11,"hh:mm")&amp;";"&amp;TEXT(BD11,"hh:mm")&amp;";"&amp;TEXT(BE11,"hh:mm")&amp;";"&amp;TEXT(BF11,"hh:mm")&amp;";"&amp;TEXT(BG11,"hh:mm")&amp;";"&amp;TEXT(BH11,"hh:mm")&amp;";"&amp;TEXT(BI11,"hh:mm")&amp;";"&amp;TEXT(BJ11,"hh:mm")&amp;";"&amp;TEXT(BK11,"hh:mm")&amp;";"&amp;TEXT(BL11,"hh:mm")</f>
        <v>ZuKalt;00:00;00:00;00:00;00:00;00:00;00:00;00:00;00:00;00:00</v>
      </c>
      <c r="BN11" s="90" t="str">
        <f t="shared" ref="BN11:BN18" si="25">BB11</f>
        <v>&gt;=14</v>
      </c>
    </row>
    <row r="12" spans="1:66" s="4" customFormat="1" x14ac:dyDescent="0.25">
      <c r="A12" s="3">
        <v>3</v>
      </c>
      <c r="B12" s="13" t="s">
        <v>43</v>
      </c>
      <c r="C12" s="54">
        <v>0.7</v>
      </c>
      <c r="D12" s="115" t="str">
        <f t="shared" ref="D12:AR12" si="26">IF(D23=$AT$12,"",D23)</f>
        <v/>
      </c>
      <c r="E12" s="8" t="str">
        <f t="shared" si="26"/>
        <v/>
      </c>
      <c r="F12" s="8" t="str">
        <f t="shared" si="26"/>
        <v/>
      </c>
      <c r="G12" s="8" t="str">
        <f t="shared" si="26"/>
        <v/>
      </c>
      <c r="H12" s="8" t="str">
        <f t="shared" si="26"/>
        <v/>
      </c>
      <c r="I12" s="8" t="str">
        <f t="shared" si="26"/>
        <v/>
      </c>
      <c r="J12" s="8" t="str">
        <f t="shared" si="26"/>
        <v/>
      </c>
      <c r="K12" s="8" t="str">
        <f t="shared" si="26"/>
        <v/>
      </c>
      <c r="L12" s="8" t="str">
        <f t="shared" si="26"/>
        <v/>
      </c>
      <c r="M12" s="8" t="str">
        <f t="shared" si="26"/>
        <v/>
      </c>
      <c r="N12" s="8" t="str">
        <f t="shared" si="26"/>
        <v/>
      </c>
      <c r="O12" s="8" t="str">
        <f t="shared" si="26"/>
        <v/>
      </c>
      <c r="P12" s="8" t="str">
        <f t="shared" si="26"/>
        <v/>
      </c>
      <c r="Q12" s="8" t="str">
        <f t="shared" si="26"/>
        <v/>
      </c>
      <c r="R12" s="8" t="str">
        <f t="shared" si="26"/>
        <v/>
      </c>
      <c r="S12" s="8">
        <f t="shared" si="26"/>
        <v>6.6666666666680419E-3</v>
      </c>
      <c r="T12" s="8">
        <f t="shared" si="26"/>
        <v>0.34000000000000136</v>
      </c>
      <c r="U12" s="8">
        <f t="shared" si="26"/>
        <v>0.67333333333333467</v>
      </c>
      <c r="V12" s="8">
        <f t="shared" si="26"/>
        <v>1.0066666666666679</v>
      </c>
      <c r="W12" s="8">
        <f t="shared" si="26"/>
        <v>1.3400000000000012</v>
      </c>
      <c r="X12" s="8">
        <f t="shared" si="26"/>
        <v>1.6733333333333344</v>
      </c>
      <c r="Y12" s="8">
        <f t="shared" si="26"/>
        <v>2.0066666666666677</v>
      </c>
      <c r="Z12" s="8">
        <f t="shared" si="26"/>
        <v>2.3400000000000012</v>
      </c>
      <c r="AA12" s="8">
        <f t="shared" si="26"/>
        <v>2.6733333333333347</v>
      </c>
      <c r="AB12" s="8">
        <f t="shared" si="26"/>
        <v>3.0066666666666682</v>
      </c>
      <c r="AC12" s="8">
        <f t="shared" si="26"/>
        <v>3.3400000000000016</v>
      </c>
      <c r="AD12" s="8">
        <f t="shared" si="26"/>
        <v>3.6733333333333351</v>
      </c>
      <c r="AE12" s="8">
        <f t="shared" si="26"/>
        <v>4.0066666666666686</v>
      </c>
      <c r="AF12" s="8">
        <f t="shared" si="26"/>
        <v>4.3400000000000016</v>
      </c>
      <c r="AG12" s="8">
        <f t="shared" si="26"/>
        <v>4.6733333333333347</v>
      </c>
      <c r="AH12" s="8">
        <f t="shared" si="26"/>
        <v>5.0066666666666677</v>
      </c>
      <c r="AI12" s="8">
        <f t="shared" si="26"/>
        <v>5.3400000000000007</v>
      </c>
      <c r="AJ12" s="8">
        <f t="shared" si="26"/>
        <v>5.6733333333333338</v>
      </c>
      <c r="AK12" s="8">
        <f t="shared" si="26"/>
        <v>6.0066666666666668</v>
      </c>
      <c r="AL12" s="8">
        <f t="shared" si="26"/>
        <v>6.34</v>
      </c>
      <c r="AM12" s="8" t="str">
        <f t="shared" si="26"/>
        <v/>
      </c>
      <c r="AN12" s="8" t="str">
        <f t="shared" si="26"/>
        <v/>
      </c>
      <c r="AO12" s="8" t="str">
        <f t="shared" si="26"/>
        <v/>
      </c>
      <c r="AP12" s="8" t="str">
        <f t="shared" si="26"/>
        <v/>
      </c>
      <c r="AQ12" s="8" t="str">
        <f t="shared" si="26"/>
        <v/>
      </c>
      <c r="AR12" s="8" t="str">
        <f t="shared" si="26"/>
        <v/>
      </c>
      <c r="AS12" s="116" t="str">
        <f>IF(AS23=$AT$12,"",AS23)</f>
        <v/>
      </c>
      <c r="AT12" s="110">
        <f t="shared" si="17"/>
        <v>6.6733333333333329</v>
      </c>
      <c r="AU12" s="18">
        <f t="shared" si="18"/>
        <v>10.01</v>
      </c>
      <c r="AV12" s="18">
        <f t="shared" si="19"/>
        <v>15.348666666666665</v>
      </c>
      <c r="AW12" s="11"/>
      <c r="AY12" s="11"/>
      <c r="AZ12" s="59">
        <f t="shared" si="20"/>
        <v>6.6666666666680419E-3</v>
      </c>
      <c r="BA12" s="107">
        <f t="shared" si="21"/>
        <v>0.31047453703703654</v>
      </c>
      <c r="BB12" s="92" t="str">
        <f t="shared" si="23"/>
        <v>&gt;=12</v>
      </c>
      <c r="BC12" s="99" t="s">
        <v>19</v>
      </c>
      <c r="BD12" s="95"/>
      <c r="BE12" s="95"/>
      <c r="BF12" s="95"/>
      <c r="BG12" s="95"/>
      <c r="BH12" s="95"/>
      <c r="BI12" s="95"/>
      <c r="BJ12" s="95"/>
      <c r="BK12" s="95"/>
      <c r="BL12" s="100"/>
      <c r="BM12" s="52" t="str">
        <f t="shared" si="24"/>
        <v>ZuKalt;00:00;00:00;00:00;00:00;00:00;00:00;00:00;00:00;00:00</v>
      </c>
      <c r="BN12" s="90" t="str">
        <f t="shared" si="25"/>
        <v>&gt;=12</v>
      </c>
    </row>
    <row r="13" spans="1:66" s="4" customFormat="1" x14ac:dyDescent="0.25">
      <c r="A13" s="3">
        <v>4</v>
      </c>
      <c r="B13" s="13" t="s">
        <v>44</v>
      </c>
      <c r="C13" s="54">
        <v>0.73</v>
      </c>
      <c r="D13" s="115" t="str">
        <f t="shared" ref="D13:AR13" si="27">IF(D24=$AT$13,"",D24)</f>
        <v/>
      </c>
      <c r="E13" s="8" t="str">
        <f t="shared" si="27"/>
        <v/>
      </c>
      <c r="F13" s="8" t="str">
        <f t="shared" si="27"/>
        <v/>
      </c>
      <c r="G13" s="8" t="str">
        <f t="shared" si="27"/>
        <v/>
      </c>
      <c r="H13" s="8" t="str">
        <f t="shared" si="27"/>
        <v/>
      </c>
      <c r="I13" s="8" t="str">
        <f t="shared" si="27"/>
        <v/>
      </c>
      <c r="J13" s="8" t="str">
        <f t="shared" si="27"/>
        <v/>
      </c>
      <c r="K13" s="8" t="str">
        <f t="shared" si="27"/>
        <v/>
      </c>
      <c r="L13" s="8" t="str">
        <f t="shared" si="27"/>
        <v/>
      </c>
      <c r="M13" s="8" t="str">
        <f t="shared" si="27"/>
        <v/>
      </c>
      <c r="N13" s="8" t="str">
        <f t="shared" si="27"/>
        <v/>
      </c>
      <c r="O13" s="8" t="str">
        <f t="shared" si="27"/>
        <v/>
      </c>
      <c r="P13" s="8" t="str">
        <f t="shared" si="27"/>
        <v/>
      </c>
      <c r="Q13" s="8" t="str">
        <f t="shared" si="27"/>
        <v/>
      </c>
      <c r="R13" s="8" t="str">
        <f t="shared" si="27"/>
        <v/>
      </c>
      <c r="S13" s="8">
        <f t="shared" si="27"/>
        <v>0.29266666666666857</v>
      </c>
      <c r="T13" s="8">
        <f t="shared" si="27"/>
        <v>0.62600000000000189</v>
      </c>
      <c r="U13" s="8">
        <f t="shared" si="27"/>
        <v>0.95933333333333515</v>
      </c>
      <c r="V13" s="8">
        <f t="shared" si="27"/>
        <v>1.2926666666666684</v>
      </c>
      <c r="W13" s="8">
        <f t="shared" si="27"/>
        <v>1.6260000000000017</v>
      </c>
      <c r="X13" s="8">
        <f t="shared" si="27"/>
        <v>1.9593333333333349</v>
      </c>
      <c r="Y13" s="8">
        <f t="shared" si="27"/>
        <v>2.2926666666666682</v>
      </c>
      <c r="Z13" s="8">
        <f t="shared" si="27"/>
        <v>2.6260000000000017</v>
      </c>
      <c r="AA13" s="8">
        <f t="shared" si="27"/>
        <v>2.9593333333333351</v>
      </c>
      <c r="AB13" s="8">
        <f t="shared" si="27"/>
        <v>3.2926666666666686</v>
      </c>
      <c r="AC13" s="8">
        <f t="shared" si="27"/>
        <v>3.6260000000000021</v>
      </c>
      <c r="AD13" s="8">
        <f t="shared" si="27"/>
        <v>3.9593333333333356</v>
      </c>
      <c r="AE13" s="8">
        <f t="shared" si="27"/>
        <v>4.2926666666666691</v>
      </c>
      <c r="AF13" s="8">
        <f t="shared" si="27"/>
        <v>4.6260000000000021</v>
      </c>
      <c r="AG13" s="8">
        <f t="shared" si="27"/>
        <v>4.9593333333333351</v>
      </c>
      <c r="AH13" s="8">
        <f t="shared" si="27"/>
        <v>5.2926666666666682</v>
      </c>
      <c r="AI13" s="8">
        <f t="shared" si="27"/>
        <v>5.6260000000000012</v>
      </c>
      <c r="AJ13" s="8">
        <f t="shared" si="27"/>
        <v>5.9593333333333343</v>
      </c>
      <c r="AK13" s="8">
        <f t="shared" si="27"/>
        <v>6.2926666666666673</v>
      </c>
      <c r="AL13" s="8">
        <f t="shared" si="27"/>
        <v>6.6260000000000003</v>
      </c>
      <c r="AM13" s="8" t="str">
        <f t="shared" si="27"/>
        <v/>
      </c>
      <c r="AN13" s="8" t="str">
        <f t="shared" si="27"/>
        <v/>
      </c>
      <c r="AO13" s="8" t="str">
        <f t="shared" si="27"/>
        <v/>
      </c>
      <c r="AP13" s="8" t="str">
        <f t="shared" si="27"/>
        <v/>
      </c>
      <c r="AQ13" s="8" t="str">
        <f t="shared" si="27"/>
        <v/>
      </c>
      <c r="AR13" s="8" t="str">
        <f t="shared" si="27"/>
        <v/>
      </c>
      <c r="AS13" s="116" t="str">
        <f>IF(AS24=$AT$13,"",AS24)</f>
        <v/>
      </c>
      <c r="AT13" s="110">
        <f t="shared" si="17"/>
        <v>6.9593333333333334</v>
      </c>
      <c r="AU13" s="18">
        <f t="shared" si="18"/>
        <v>10.439</v>
      </c>
      <c r="AV13" s="18">
        <f t="shared" si="19"/>
        <v>16.006466666666665</v>
      </c>
      <c r="AW13" s="11"/>
      <c r="AY13" s="11"/>
      <c r="AZ13" s="59">
        <f t="shared" si="20"/>
        <v>0.29266666666666857</v>
      </c>
      <c r="BA13" s="107">
        <f t="shared" si="21"/>
        <v>0.31047453703703654</v>
      </c>
      <c r="BB13" s="92" t="str">
        <f t="shared" si="23"/>
        <v>&gt;=10</v>
      </c>
      <c r="BC13" s="99" t="s">
        <v>19</v>
      </c>
      <c r="BD13" s="95"/>
      <c r="BE13" s="95"/>
      <c r="BF13" s="95"/>
      <c r="BG13" s="95"/>
      <c r="BH13" s="95"/>
      <c r="BI13" s="95"/>
      <c r="BJ13" s="95"/>
      <c r="BK13" s="95"/>
      <c r="BL13" s="100"/>
      <c r="BM13" s="52" t="str">
        <f t="shared" si="24"/>
        <v>ZuKalt;00:00;00:00;00:00;00:00;00:00;00:00;00:00;00:00;00:00</v>
      </c>
      <c r="BN13" s="90" t="str">
        <f t="shared" si="25"/>
        <v>&gt;=10</v>
      </c>
    </row>
    <row r="14" spans="1:66" s="4" customFormat="1" x14ac:dyDescent="0.25">
      <c r="A14" s="3">
        <v>5</v>
      </c>
      <c r="B14" s="13" t="s">
        <v>45</v>
      </c>
      <c r="C14" s="54">
        <v>0.76</v>
      </c>
      <c r="D14" s="115" t="str">
        <f t="shared" ref="D14:AR14" si="28">IF(D25=$AT$14,"",D25)</f>
        <v/>
      </c>
      <c r="E14" s="8" t="str">
        <f t="shared" si="28"/>
        <v/>
      </c>
      <c r="F14" s="8" t="str">
        <f t="shared" si="28"/>
        <v/>
      </c>
      <c r="G14" s="8" t="str">
        <f t="shared" si="28"/>
        <v/>
      </c>
      <c r="H14" s="8" t="str">
        <f t="shared" si="28"/>
        <v/>
      </c>
      <c r="I14" s="8" t="str">
        <f t="shared" si="28"/>
        <v/>
      </c>
      <c r="J14" s="8" t="str">
        <f t="shared" si="28"/>
        <v/>
      </c>
      <c r="K14" s="8" t="str">
        <f t="shared" si="28"/>
        <v/>
      </c>
      <c r="L14" s="8" t="str">
        <f t="shared" si="28"/>
        <v/>
      </c>
      <c r="M14" s="8" t="str">
        <f t="shared" si="28"/>
        <v/>
      </c>
      <c r="N14" s="8" t="str">
        <f t="shared" si="28"/>
        <v/>
      </c>
      <c r="O14" s="8" t="str">
        <f t="shared" si="28"/>
        <v/>
      </c>
      <c r="P14" s="8" t="str">
        <f t="shared" si="28"/>
        <v/>
      </c>
      <c r="Q14" s="8" t="str">
        <f t="shared" si="28"/>
        <v/>
      </c>
      <c r="R14" s="8">
        <f t="shared" si="28"/>
        <v>0.24533333333333601</v>
      </c>
      <c r="S14" s="8">
        <f t="shared" si="28"/>
        <v>0.57866666666666933</v>
      </c>
      <c r="T14" s="8">
        <f t="shared" si="28"/>
        <v>0.91200000000000259</v>
      </c>
      <c r="U14" s="8">
        <f t="shared" si="28"/>
        <v>1.2453333333333358</v>
      </c>
      <c r="V14" s="8">
        <f t="shared" si="28"/>
        <v>1.5786666666666691</v>
      </c>
      <c r="W14" s="8">
        <f t="shared" si="28"/>
        <v>1.9120000000000024</v>
      </c>
      <c r="X14" s="8">
        <f t="shared" si="28"/>
        <v>2.2453333333333356</v>
      </c>
      <c r="Y14" s="8">
        <f t="shared" si="28"/>
        <v>2.5786666666666691</v>
      </c>
      <c r="Z14" s="8">
        <f t="shared" si="28"/>
        <v>2.9120000000000026</v>
      </c>
      <c r="AA14" s="8">
        <f t="shared" si="28"/>
        <v>3.2453333333333361</v>
      </c>
      <c r="AB14" s="8">
        <f t="shared" si="28"/>
        <v>3.5786666666666695</v>
      </c>
      <c r="AC14" s="8">
        <f t="shared" si="28"/>
        <v>3.912000000000003</v>
      </c>
      <c r="AD14" s="8">
        <f t="shared" si="28"/>
        <v>4.2453333333333365</v>
      </c>
      <c r="AE14" s="8">
        <f t="shared" si="28"/>
        <v>4.5786666666666695</v>
      </c>
      <c r="AF14" s="8">
        <f t="shared" si="28"/>
        <v>4.9120000000000026</v>
      </c>
      <c r="AG14" s="8">
        <f t="shared" si="28"/>
        <v>5.2453333333333356</v>
      </c>
      <c r="AH14" s="8">
        <f t="shared" si="28"/>
        <v>5.5786666666666687</v>
      </c>
      <c r="AI14" s="8">
        <f t="shared" si="28"/>
        <v>5.9120000000000017</v>
      </c>
      <c r="AJ14" s="8">
        <f t="shared" si="28"/>
        <v>6.2453333333333347</v>
      </c>
      <c r="AK14" s="8">
        <f t="shared" si="28"/>
        <v>6.5786666666666678</v>
      </c>
      <c r="AL14" s="8">
        <f t="shared" si="28"/>
        <v>6.9120000000000008</v>
      </c>
      <c r="AM14" s="8" t="str">
        <f t="shared" si="28"/>
        <v/>
      </c>
      <c r="AN14" s="8" t="str">
        <f t="shared" si="28"/>
        <v/>
      </c>
      <c r="AO14" s="8" t="str">
        <f t="shared" si="28"/>
        <v/>
      </c>
      <c r="AP14" s="8" t="str">
        <f t="shared" si="28"/>
        <v/>
      </c>
      <c r="AQ14" s="8" t="str">
        <f t="shared" si="28"/>
        <v/>
      </c>
      <c r="AR14" s="8" t="str">
        <f t="shared" si="28"/>
        <v/>
      </c>
      <c r="AS14" s="116" t="str">
        <f>IF(AS25=$AT$14,"",AS25)</f>
        <v/>
      </c>
      <c r="AT14" s="110">
        <f t="shared" si="17"/>
        <v>7.2453333333333338</v>
      </c>
      <c r="AU14" s="18">
        <f t="shared" si="18"/>
        <v>10.868</v>
      </c>
      <c r="AV14" s="18">
        <f t="shared" si="19"/>
        <v>16.664266666666666</v>
      </c>
      <c r="AW14" s="11"/>
      <c r="AY14" s="11"/>
      <c r="AZ14" s="59">
        <f t="shared" si="20"/>
        <v>0.24533333333333601</v>
      </c>
      <c r="BA14" s="107">
        <f t="shared" si="21"/>
        <v>0.29658564814814775</v>
      </c>
      <c r="BB14" s="92" t="str">
        <f t="shared" si="23"/>
        <v>&gt;=8</v>
      </c>
      <c r="BC14" s="99" t="s">
        <v>19</v>
      </c>
      <c r="BD14" s="95"/>
      <c r="BE14" s="95"/>
      <c r="BF14" s="95"/>
      <c r="BG14" s="95"/>
      <c r="BH14" s="95"/>
      <c r="BI14" s="95"/>
      <c r="BJ14" s="95"/>
      <c r="BK14" s="95"/>
      <c r="BL14" s="100"/>
      <c r="BM14" s="52" t="str">
        <f t="shared" si="24"/>
        <v>ZuKalt;00:00;00:00;00:00;00:00;00:00;00:00;00:00;00:00;00:00</v>
      </c>
      <c r="BN14" s="90" t="str">
        <f t="shared" si="25"/>
        <v>&gt;=8</v>
      </c>
    </row>
    <row r="15" spans="1:66" s="4" customFormat="1" x14ac:dyDescent="0.25">
      <c r="A15" s="3">
        <v>6</v>
      </c>
      <c r="B15" s="13" t="s">
        <v>46</v>
      </c>
      <c r="C15" s="54">
        <v>0.8</v>
      </c>
      <c r="D15" s="115" t="str">
        <f t="shared" ref="D15:AR15" si="29">IF(D26=$AT$15,"",D26)</f>
        <v/>
      </c>
      <c r="E15" s="8" t="str">
        <f t="shared" si="29"/>
        <v/>
      </c>
      <c r="F15" s="8" t="str">
        <f t="shared" si="29"/>
        <v/>
      </c>
      <c r="G15" s="8" t="str">
        <f t="shared" si="29"/>
        <v/>
      </c>
      <c r="H15" s="8" t="str">
        <f t="shared" si="29"/>
        <v/>
      </c>
      <c r="I15" s="8" t="str">
        <f t="shared" si="29"/>
        <v/>
      </c>
      <c r="J15" s="8" t="str">
        <f t="shared" si="29"/>
        <v/>
      </c>
      <c r="K15" s="8" t="str">
        <f t="shared" si="29"/>
        <v/>
      </c>
      <c r="L15" s="8" t="str">
        <f t="shared" si="29"/>
        <v/>
      </c>
      <c r="M15" s="8" t="str">
        <f t="shared" si="29"/>
        <v/>
      </c>
      <c r="N15" s="8" t="str">
        <f t="shared" si="29"/>
        <v/>
      </c>
      <c r="O15" s="8" t="str">
        <f t="shared" si="29"/>
        <v/>
      </c>
      <c r="P15" s="8" t="str">
        <f t="shared" si="29"/>
        <v/>
      </c>
      <c r="Q15" s="8">
        <f t="shared" si="29"/>
        <v>0.29333333333333694</v>
      </c>
      <c r="R15" s="8">
        <f t="shared" si="29"/>
        <v>0.62666666666667026</v>
      </c>
      <c r="S15" s="8">
        <f t="shared" si="29"/>
        <v>0.96000000000000352</v>
      </c>
      <c r="T15" s="8">
        <f t="shared" si="29"/>
        <v>1.2933333333333368</v>
      </c>
      <c r="U15" s="8">
        <f t="shared" si="29"/>
        <v>1.62666666666667</v>
      </c>
      <c r="V15" s="8">
        <f t="shared" si="29"/>
        <v>1.9600000000000033</v>
      </c>
      <c r="W15" s="8">
        <f t="shared" si="29"/>
        <v>2.2933333333333366</v>
      </c>
      <c r="X15" s="8">
        <f t="shared" si="29"/>
        <v>2.62666666666667</v>
      </c>
      <c r="Y15" s="8">
        <f t="shared" si="29"/>
        <v>2.9600000000000035</v>
      </c>
      <c r="Z15" s="8">
        <f t="shared" si="29"/>
        <v>3.293333333333337</v>
      </c>
      <c r="AA15" s="8">
        <f t="shared" si="29"/>
        <v>3.6266666666666705</v>
      </c>
      <c r="AB15" s="8">
        <f t="shared" si="29"/>
        <v>3.960000000000004</v>
      </c>
      <c r="AC15" s="8">
        <f t="shared" si="29"/>
        <v>4.2933333333333374</v>
      </c>
      <c r="AD15" s="8">
        <f t="shared" si="29"/>
        <v>4.6266666666666705</v>
      </c>
      <c r="AE15" s="8">
        <f t="shared" si="29"/>
        <v>4.9600000000000035</v>
      </c>
      <c r="AF15" s="8">
        <f t="shared" si="29"/>
        <v>5.2933333333333366</v>
      </c>
      <c r="AG15" s="8">
        <f t="shared" si="29"/>
        <v>5.6266666666666696</v>
      </c>
      <c r="AH15" s="8">
        <f t="shared" si="29"/>
        <v>5.9600000000000026</v>
      </c>
      <c r="AI15" s="8">
        <f t="shared" si="29"/>
        <v>6.2933333333333357</v>
      </c>
      <c r="AJ15" s="8">
        <f t="shared" si="29"/>
        <v>6.6266666666666687</v>
      </c>
      <c r="AK15" s="8">
        <f t="shared" si="29"/>
        <v>6.9600000000000017</v>
      </c>
      <c r="AL15" s="8">
        <f t="shared" si="29"/>
        <v>7.2933333333333348</v>
      </c>
      <c r="AM15" s="8" t="str">
        <f t="shared" si="29"/>
        <v/>
      </c>
      <c r="AN15" s="8" t="str">
        <f t="shared" si="29"/>
        <v/>
      </c>
      <c r="AO15" s="8" t="str">
        <f t="shared" si="29"/>
        <v/>
      </c>
      <c r="AP15" s="8" t="str">
        <f t="shared" si="29"/>
        <v/>
      </c>
      <c r="AQ15" s="8" t="str">
        <f t="shared" si="29"/>
        <v/>
      </c>
      <c r="AR15" s="8" t="str">
        <f t="shared" si="29"/>
        <v/>
      </c>
      <c r="AS15" s="116" t="str">
        <f>IF(AS26=$AT$15,"",AS26)</f>
        <v/>
      </c>
      <c r="AT15" s="110">
        <f t="shared" si="17"/>
        <v>7.6266666666666678</v>
      </c>
      <c r="AU15" s="18">
        <f t="shared" si="18"/>
        <v>11.440000000000001</v>
      </c>
      <c r="AV15" s="18">
        <f t="shared" si="19"/>
        <v>17.541333333333334</v>
      </c>
      <c r="AW15" s="11"/>
      <c r="AY15" s="11"/>
      <c r="AZ15" s="59">
        <f t="shared" si="20"/>
        <v>0.29333333333333694</v>
      </c>
      <c r="BA15" s="107">
        <f t="shared" si="21"/>
        <v>0.28269675925925897</v>
      </c>
      <c r="BB15" s="92" t="str">
        <f t="shared" si="23"/>
        <v>&gt;=6</v>
      </c>
      <c r="BC15" s="99" t="s">
        <v>19</v>
      </c>
      <c r="BD15" s="95"/>
      <c r="BE15" s="95"/>
      <c r="BF15" s="95"/>
      <c r="BG15" s="95"/>
      <c r="BH15" s="95"/>
      <c r="BI15" s="95"/>
      <c r="BJ15" s="95"/>
      <c r="BK15" s="95"/>
      <c r="BL15" s="100"/>
      <c r="BM15" s="52" t="str">
        <f t="shared" si="24"/>
        <v>ZuKalt;00:00;00:00;00:00;00:00;00:00;00:00;00:00;00:00;00:00</v>
      </c>
      <c r="BN15" s="90" t="str">
        <f t="shared" si="25"/>
        <v>&gt;=6</v>
      </c>
    </row>
    <row r="16" spans="1:66" s="8" customFormat="1" x14ac:dyDescent="0.25">
      <c r="A16" s="3">
        <v>7</v>
      </c>
      <c r="B16" s="13" t="s">
        <v>47</v>
      </c>
      <c r="C16" s="54">
        <v>0.85</v>
      </c>
      <c r="D16" s="115" t="str">
        <f t="shared" ref="D16:AR16" si="30">IF(D27=$AT$16,"",D27)</f>
        <v/>
      </c>
      <c r="E16" s="8" t="str">
        <f t="shared" si="30"/>
        <v/>
      </c>
      <c r="F16" s="8" t="str">
        <f t="shared" si="30"/>
        <v/>
      </c>
      <c r="G16" s="8" t="str">
        <f t="shared" si="30"/>
        <v/>
      </c>
      <c r="H16" s="8" t="str">
        <f t="shared" si="30"/>
        <v/>
      </c>
      <c r="I16" s="8" t="str">
        <f t="shared" si="30"/>
        <v/>
      </c>
      <c r="J16" s="8" t="str">
        <f t="shared" si="30"/>
        <v/>
      </c>
      <c r="K16" s="8" t="str">
        <f t="shared" si="30"/>
        <v/>
      </c>
      <c r="L16" s="8" t="str">
        <f t="shared" si="30"/>
        <v/>
      </c>
      <c r="M16" s="8" t="str">
        <f t="shared" si="30"/>
        <v/>
      </c>
      <c r="N16" s="8" t="str">
        <f t="shared" si="30"/>
        <v/>
      </c>
      <c r="O16" s="8">
        <f t="shared" si="30"/>
        <v>0.1033333333333365</v>
      </c>
      <c r="P16" s="8">
        <f t="shared" si="30"/>
        <v>0.43666666666666981</v>
      </c>
      <c r="Q16" s="8">
        <f t="shared" si="30"/>
        <v>0.77000000000000313</v>
      </c>
      <c r="R16" s="8">
        <f t="shared" si="30"/>
        <v>1.1033333333333364</v>
      </c>
      <c r="S16" s="8">
        <f t="shared" si="30"/>
        <v>1.4366666666666696</v>
      </c>
      <c r="T16" s="8">
        <f t="shared" si="30"/>
        <v>1.7700000000000029</v>
      </c>
      <c r="U16" s="8">
        <f t="shared" si="30"/>
        <v>2.1033333333333362</v>
      </c>
      <c r="V16" s="8">
        <f t="shared" si="30"/>
        <v>2.4366666666666696</v>
      </c>
      <c r="W16" s="8">
        <f t="shared" si="30"/>
        <v>2.7700000000000031</v>
      </c>
      <c r="X16" s="8">
        <f t="shared" si="30"/>
        <v>3.1033333333333366</v>
      </c>
      <c r="Y16" s="8">
        <f t="shared" si="30"/>
        <v>3.4366666666666701</v>
      </c>
      <c r="Z16" s="8">
        <f t="shared" si="30"/>
        <v>3.7700000000000036</v>
      </c>
      <c r="AA16" s="8">
        <f t="shared" si="30"/>
        <v>4.1033333333333371</v>
      </c>
      <c r="AB16" s="8">
        <f t="shared" si="30"/>
        <v>4.4366666666666701</v>
      </c>
      <c r="AC16" s="8">
        <f t="shared" si="30"/>
        <v>4.7700000000000031</v>
      </c>
      <c r="AD16" s="8">
        <f t="shared" si="30"/>
        <v>5.1033333333333362</v>
      </c>
      <c r="AE16" s="8">
        <f t="shared" si="30"/>
        <v>5.4366666666666692</v>
      </c>
      <c r="AF16" s="8">
        <f t="shared" si="30"/>
        <v>5.7700000000000022</v>
      </c>
      <c r="AG16" s="8">
        <f t="shared" si="30"/>
        <v>6.1033333333333353</v>
      </c>
      <c r="AH16" s="8">
        <f t="shared" si="30"/>
        <v>6.4366666666666683</v>
      </c>
      <c r="AI16" s="8">
        <f t="shared" si="30"/>
        <v>6.7700000000000014</v>
      </c>
      <c r="AJ16" s="8">
        <f t="shared" si="30"/>
        <v>7.1033333333333344</v>
      </c>
      <c r="AK16" s="8">
        <f t="shared" si="30"/>
        <v>7.4366666666666674</v>
      </c>
      <c r="AL16" s="8">
        <f t="shared" si="30"/>
        <v>7.7700000000000005</v>
      </c>
      <c r="AM16" s="8" t="str">
        <f t="shared" si="30"/>
        <v/>
      </c>
      <c r="AN16" s="8" t="str">
        <f t="shared" si="30"/>
        <v/>
      </c>
      <c r="AO16" s="8" t="str">
        <f t="shared" si="30"/>
        <v/>
      </c>
      <c r="AP16" s="8" t="str">
        <f t="shared" si="30"/>
        <v/>
      </c>
      <c r="AQ16" s="8" t="str">
        <f t="shared" si="30"/>
        <v/>
      </c>
      <c r="AR16" s="8" t="str">
        <f t="shared" si="30"/>
        <v/>
      </c>
      <c r="AS16" s="116" t="str">
        <f>IF(AS27=$AT$16,"",AS27)</f>
        <v/>
      </c>
      <c r="AT16" s="110">
        <f t="shared" si="17"/>
        <v>8.1033333333333335</v>
      </c>
      <c r="AU16" s="18">
        <f t="shared" si="18"/>
        <v>12.155000000000001</v>
      </c>
      <c r="AV16" s="18">
        <f t="shared" si="19"/>
        <v>18.637666666666664</v>
      </c>
      <c r="AW16" s="11"/>
      <c r="AY16" s="11"/>
      <c r="AZ16" s="59">
        <f t="shared" si="20"/>
        <v>0.1033333333333365</v>
      </c>
      <c r="BA16" s="107">
        <f t="shared" si="21"/>
        <v>0.2549189814814814</v>
      </c>
      <c r="BB16" s="92" t="str">
        <f t="shared" si="23"/>
        <v>&gt;=4</v>
      </c>
      <c r="BC16" s="99" t="s">
        <v>19</v>
      </c>
      <c r="BD16" s="95"/>
      <c r="BE16" s="95"/>
      <c r="BF16" s="95"/>
      <c r="BG16" s="95"/>
      <c r="BH16" s="95"/>
      <c r="BI16" s="95"/>
      <c r="BJ16" s="95"/>
      <c r="BK16" s="95"/>
      <c r="BL16" s="100"/>
      <c r="BM16" s="52" t="str">
        <f t="shared" si="24"/>
        <v>ZuKalt;00:00;00:00;00:00;00:00;00:00;00:00;00:00;00:00;00:00</v>
      </c>
      <c r="BN16" s="90" t="str">
        <f t="shared" si="25"/>
        <v>&gt;=4</v>
      </c>
    </row>
    <row r="17" spans="1:66" s="8" customFormat="1" x14ac:dyDescent="0.25">
      <c r="A17" s="3">
        <v>8</v>
      </c>
      <c r="B17" s="13" t="s">
        <v>48</v>
      </c>
      <c r="C17" s="54">
        <v>0.9</v>
      </c>
      <c r="D17" s="115" t="str">
        <f t="shared" ref="D17:AR17" si="31">IF(D28=$AT$17,"",D28)</f>
        <v/>
      </c>
      <c r="E17" s="8" t="str">
        <f t="shared" si="31"/>
        <v/>
      </c>
      <c r="F17" s="8" t="str">
        <f t="shared" si="31"/>
        <v/>
      </c>
      <c r="G17" s="8" t="str">
        <f t="shared" si="31"/>
        <v/>
      </c>
      <c r="H17" s="8" t="str">
        <f t="shared" si="31"/>
        <v/>
      </c>
      <c r="I17" s="8" t="str">
        <f t="shared" si="31"/>
        <v/>
      </c>
      <c r="J17" s="8" t="str">
        <f t="shared" si="31"/>
        <v/>
      </c>
      <c r="K17" s="8" t="str">
        <f t="shared" si="31"/>
        <v/>
      </c>
      <c r="L17" s="8" t="str">
        <f t="shared" si="31"/>
        <v/>
      </c>
      <c r="M17" s="8" t="str">
        <f t="shared" si="31"/>
        <v/>
      </c>
      <c r="N17" s="8">
        <f t="shared" si="31"/>
        <v>0.2466666666666692</v>
      </c>
      <c r="O17" s="8">
        <f t="shared" si="31"/>
        <v>0.58000000000000251</v>
      </c>
      <c r="P17" s="8">
        <f t="shared" si="31"/>
        <v>0.91333333333333577</v>
      </c>
      <c r="Q17" s="8">
        <f t="shared" si="31"/>
        <v>1.246666666666669</v>
      </c>
      <c r="R17" s="8">
        <f t="shared" si="31"/>
        <v>1.5800000000000023</v>
      </c>
      <c r="S17" s="8">
        <f t="shared" si="31"/>
        <v>1.9133333333333356</v>
      </c>
      <c r="T17" s="8">
        <f t="shared" si="31"/>
        <v>2.2466666666666688</v>
      </c>
      <c r="U17" s="8">
        <f t="shared" si="31"/>
        <v>2.5800000000000023</v>
      </c>
      <c r="V17" s="8">
        <f t="shared" si="31"/>
        <v>2.9133333333333358</v>
      </c>
      <c r="W17" s="8">
        <f t="shared" si="31"/>
        <v>3.2466666666666693</v>
      </c>
      <c r="X17" s="8">
        <f t="shared" si="31"/>
        <v>3.5800000000000027</v>
      </c>
      <c r="Y17" s="8">
        <f t="shared" si="31"/>
        <v>3.9133333333333362</v>
      </c>
      <c r="Z17" s="8">
        <f t="shared" si="31"/>
        <v>4.2466666666666697</v>
      </c>
      <c r="AA17" s="8">
        <f t="shared" si="31"/>
        <v>4.5800000000000027</v>
      </c>
      <c r="AB17" s="8">
        <f t="shared" si="31"/>
        <v>4.9133333333333358</v>
      </c>
      <c r="AC17" s="8">
        <f t="shared" si="31"/>
        <v>5.2466666666666688</v>
      </c>
      <c r="AD17" s="8">
        <f t="shared" si="31"/>
        <v>5.5800000000000018</v>
      </c>
      <c r="AE17" s="8">
        <f t="shared" si="31"/>
        <v>5.9133333333333349</v>
      </c>
      <c r="AF17" s="8">
        <f t="shared" si="31"/>
        <v>6.2466666666666679</v>
      </c>
      <c r="AG17" s="8">
        <f t="shared" si="31"/>
        <v>6.580000000000001</v>
      </c>
      <c r="AH17" s="8">
        <f t="shared" si="31"/>
        <v>6.913333333333334</v>
      </c>
      <c r="AI17" s="8">
        <f t="shared" si="31"/>
        <v>7.246666666666667</v>
      </c>
      <c r="AJ17" s="8">
        <f t="shared" si="31"/>
        <v>7.58</v>
      </c>
      <c r="AK17" s="8">
        <f t="shared" si="31"/>
        <v>7.9133333333333331</v>
      </c>
      <c r="AL17" s="8">
        <f t="shared" si="31"/>
        <v>8.2466666666666661</v>
      </c>
      <c r="AM17" s="8" t="str">
        <f t="shared" si="31"/>
        <v/>
      </c>
      <c r="AN17" s="8" t="str">
        <f t="shared" si="31"/>
        <v/>
      </c>
      <c r="AO17" s="8" t="str">
        <f t="shared" si="31"/>
        <v/>
      </c>
      <c r="AP17" s="8" t="str">
        <f t="shared" si="31"/>
        <v/>
      </c>
      <c r="AQ17" s="8" t="str">
        <f t="shared" si="31"/>
        <v/>
      </c>
      <c r="AR17" s="8" t="str">
        <f t="shared" si="31"/>
        <v/>
      </c>
      <c r="AS17" s="116" t="str">
        <f>IF(AS28=$AT$17,"",AS28)</f>
        <v/>
      </c>
      <c r="AT17" s="110">
        <f t="shared" si="17"/>
        <v>8.58</v>
      </c>
      <c r="AU17" s="18">
        <f t="shared" si="18"/>
        <v>12.870000000000001</v>
      </c>
      <c r="AV17" s="18">
        <f t="shared" si="19"/>
        <v>19.733999999999998</v>
      </c>
      <c r="AW17" s="11"/>
      <c r="AY17" s="11"/>
      <c r="AZ17" s="59">
        <f t="shared" si="20"/>
        <v>0.2466666666666692</v>
      </c>
      <c r="BA17" s="107">
        <f t="shared" si="21"/>
        <v>0.24103009259259259</v>
      </c>
      <c r="BB17" s="92" t="str">
        <f t="shared" si="23"/>
        <v>&gt;=2</v>
      </c>
      <c r="BC17" s="99" t="s">
        <v>19</v>
      </c>
      <c r="BD17" s="95"/>
      <c r="BE17" s="95"/>
      <c r="BF17" s="95"/>
      <c r="BG17" s="95"/>
      <c r="BH17" s="95"/>
      <c r="BI17" s="95"/>
      <c r="BJ17" s="95"/>
      <c r="BK17" s="95"/>
      <c r="BL17" s="100"/>
      <c r="BM17" s="52" t="str">
        <f t="shared" si="24"/>
        <v>ZuKalt;00:00;00:00;00:00;00:00;00:00;00:00;00:00;00:00;00:00</v>
      </c>
      <c r="BN17" s="90" t="str">
        <f t="shared" si="25"/>
        <v>&gt;=2</v>
      </c>
    </row>
    <row r="18" spans="1:66" s="4" customFormat="1" ht="15.75" thickBot="1" x14ac:dyDescent="0.3">
      <c r="A18" s="3">
        <v>9</v>
      </c>
      <c r="B18" s="13" t="s">
        <v>49</v>
      </c>
      <c r="C18" s="54">
        <v>0.95</v>
      </c>
      <c r="D18" s="117" t="str">
        <f t="shared" ref="D18:AR18" si="32">IF(D29=$AT$18,"",D29)</f>
        <v/>
      </c>
      <c r="E18" s="118" t="str">
        <f t="shared" si="32"/>
        <v/>
      </c>
      <c r="F18" s="118" t="str">
        <f t="shared" si="32"/>
        <v/>
      </c>
      <c r="G18" s="118" t="str">
        <f t="shared" si="32"/>
        <v/>
      </c>
      <c r="H18" s="118" t="str">
        <f t="shared" si="32"/>
        <v/>
      </c>
      <c r="I18" s="118" t="str">
        <f t="shared" si="32"/>
        <v/>
      </c>
      <c r="J18" s="118" t="str">
        <f t="shared" si="32"/>
        <v/>
      </c>
      <c r="K18" s="118" t="str">
        <f t="shared" si="32"/>
        <v/>
      </c>
      <c r="L18" s="118">
        <f t="shared" si="32"/>
        <v>5.6666666666667864E-2</v>
      </c>
      <c r="M18" s="118">
        <f t="shared" si="32"/>
        <v>0.39000000000000118</v>
      </c>
      <c r="N18" s="118">
        <f t="shared" si="32"/>
        <v>0.72333333333333449</v>
      </c>
      <c r="O18" s="118">
        <f t="shared" si="32"/>
        <v>1.0566666666666678</v>
      </c>
      <c r="P18" s="118">
        <f t="shared" si="32"/>
        <v>1.390000000000001</v>
      </c>
      <c r="Q18" s="118">
        <f t="shared" si="32"/>
        <v>1.7233333333333343</v>
      </c>
      <c r="R18" s="118">
        <f t="shared" si="32"/>
        <v>2.0566666666666675</v>
      </c>
      <c r="S18" s="118">
        <f t="shared" si="32"/>
        <v>2.390000000000001</v>
      </c>
      <c r="T18" s="118">
        <f t="shared" si="32"/>
        <v>2.7233333333333345</v>
      </c>
      <c r="U18" s="118">
        <f t="shared" si="32"/>
        <v>3.056666666666668</v>
      </c>
      <c r="V18" s="118">
        <f t="shared" si="32"/>
        <v>3.3900000000000015</v>
      </c>
      <c r="W18" s="118">
        <f t="shared" si="32"/>
        <v>3.7233333333333349</v>
      </c>
      <c r="X18" s="118">
        <f t="shared" si="32"/>
        <v>4.0566666666666684</v>
      </c>
      <c r="Y18" s="118">
        <f t="shared" si="32"/>
        <v>4.3900000000000015</v>
      </c>
      <c r="Z18" s="118">
        <f t="shared" si="32"/>
        <v>4.7233333333333345</v>
      </c>
      <c r="AA18" s="118">
        <f t="shared" si="32"/>
        <v>5.0566666666666675</v>
      </c>
      <c r="AB18" s="118">
        <f t="shared" si="32"/>
        <v>5.3900000000000006</v>
      </c>
      <c r="AC18" s="118">
        <f t="shared" si="32"/>
        <v>5.7233333333333336</v>
      </c>
      <c r="AD18" s="118">
        <f t="shared" si="32"/>
        <v>6.0566666666666666</v>
      </c>
      <c r="AE18" s="118">
        <f t="shared" si="32"/>
        <v>6.39</v>
      </c>
      <c r="AF18" s="118">
        <f t="shared" si="32"/>
        <v>6.7233333333333327</v>
      </c>
      <c r="AG18" s="118">
        <f t="shared" si="32"/>
        <v>7.0566666666666658</v>
      </c>
      <c r="AH18" s="118">
        <f t="shared" si="32"/>
        <v>7.3899999999999988</v>
      </c>
      <c r="AI18" s="118">
        <f t="shared" si="32"/>
        <v>7.7233333333333318</v>
      </c>
      <c r="AJ18" s="118">
        <f t="shared" si="32"/>
        <v>8.0566666666666649</v>
      </c>
      <c r="AK18" s="118">
        <f t="shared" si="32"/>
        <v>8.3899999999999988</v>
      </c>
      <c r="AL18" s="118">
        <f t="shared" si="32"/>
        <v>8.7233333333333327</v>
      </c>
      <c r="AM18" s="118" t="str">
        <f t="shared" si="32"/>
        <v/>
      </c>
      <c r="AN18" s="118" t="str">
        <f t="shared" si="32"/>
        <v/>
      </c>
      <c r="AO18" s="118" t="str">
        <f t="shared" si="32"/>
        <v/>
      </c>
      <c r="AP18" s="118" t="str">
        <f t="shared" si="32"/>
        <v/>
      </c>
      <c r="AQ18" s="118" t="str">
        <f t="shared" si="32"/>
        <v/>
      </c>
      <c r="AR18" s="118" t="str">
        <f t="shared" si="32"/>
        <v/>
      </c>
      <c r="AS18" s="119" t="str">
        <f>IF(AS29=$AT$18,"",AS29)</f>
        <v/>
      </c>
      <c r="AT18" s="110">
        <f t="shared" si="17"/>
        <v>9.0566666666666666</v>
      </c>
      <c r="AU18" s="18">
        <f t="shared" si="18"/>
        <v>13.585000000000001</v>
      </c>
      <c r="AV18" s="18">
        <f t="shared" si="19"/>
        <v>20.830333333333332</v>
      </c>
      <c r="AW18" s="11"/>
      <c r="AY18" s="11"/>
      <c r="AZ18" s="59">
        <f t="shared" si="20"/>
        <v>5.6666666666667864E-2</v>
      </c>
      <c r="BA18" s="108">
        <f t="shared" si="21"/>
        <v>0.21325231481481496</v>
      </c>
      <c r="BB18" s="92" t="str">
        <f t="shared" si="23"/>
        <v>&gt;=0</v>
      </c>
      <c r="BC18" s="101" t="s">
        <v>19</v>
      </c>
      <c r="BD18" s="102"/>
      <c r="BE18" s="102"/>
      <c r="BF18" s="102"/>
      <c r="BG18" s="102"/>
      <c r="BH18" s="102"/>
      <c r="BI18" s="102"/>
      <c r="BJ18" s="102"/>
      <c r="BK18" s="102"/>
      <c r="BL18" s="103"/>
      <c r="BM18" s="52" t="str">
        <f t="shared" si="24"/>
        <v>ZuKalt;00:00;00:00;00:00;00:00;00:00;00:00;00:00;00:00;00:00</v>
      </c>
      <c r="BN18" s="90" t="str">
        <f t="shared" si="25"/>
        <v>&gt;=0</v>
      </c>
    </row>
    <row r="19" spans="1:66" s="4" customFormat="1" x14ac:dyDescent="0.25">
      <c r="A19" s="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1"/>
      <c r="AO19" s="8"/>
      <c r="AP19" s="8"/>
      <c r="AQ19" s="8"/>
      <c r="AR19" s="8"/>
      <c r="AS19" s="8"/>
      <c r="AT19" s="11"/>
      <c r="AU19" s="8"/>
      <c r="AV19" s="58"/>
      <c r="AW19" s="58"/>
      <c r="AX19" s="8"/>
      <c r="AY19" s="8"/>
      <c r="AZ19" s="8"/>
      <c r="BA19" s="3"/>
      <c r="BB19" s="49"/>
    </row>
    <row r="20" spans="1:66" s="69" customFormat="1" hidden="1" x14ac:dyDescent="0.25">
      <c r="A20" s="66"/>
      <c r="B20" s="67" t="s">
        <v>56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W20" s="68"/>
      <c r="AX20" s="68"/>
      <c r="AY20" s="68"/>
      <c r="AZ20" s="68"/>
      <c r="BA20" s="66"/>
      <c r="BB20" s="70"/>
    </row>
    <row r="21" spans="1:66" s="69" customFormat="1" hidden="1" x14ac:dyDescent="0.25">
      <c r="A21" s="66"/>
      <c r="B21" s="67" t="s">
        <v>57</v>
      </c>
      <c r="C21" s="67"/>
      <c r="D21" s="75" t="str">
        <f t="shared" ref="D21:AR21" si="33">IF(D8&gt;$C$7,$AT$10,IFERROR(IF(E21-$AU$8&lt;0,"",E21-$AU$8),""))</f>
        <v/>
      </c>
      <c r="E21" s="76" t="str">
        <f t="shared" si="33"/>
        <v/>
      </c>
      <c r="F21" s="76" t="str">
        <f t="shared" si="33"/>
        <v/>
      </c>
      <c r="G21" s="76" t="str">
        <f t="shared" si="33"/>
        <v/>
      </c>
      <c r="H21" s="76" t="str">
        <f t="shared" si="33"/>
        <v/>
      </c>
      <c r="I21" s="76" t="str">
        <f t="shared" si="33"/>
        <v/>
      </c>
      <c r="J21" s="76" t="str">
        <f t="shared" si="33"/>
        <v/>
      </c>
      <c r="K21" s="76" t="str">
        <f t="shared" si="33"/>
        <v/>
      </c>
      <c r="L21" s="76" t="str">
        <f t="shared" si="33"/>
        <v/>
      </c>
      <c r="M21" s="76" t="str">
        <f t="shared" si="33"/>
        <v/>
      </c>
      <c r="N21" s="76" t="str">
        <f t="shared" si="33"/>
        <v/>
      </c>
      <c r="O21" s="76" t="str">
        <f t="shared" si="33"/>
        <v/>
      </c>
      <c r="P21" s="76" t="str">
        <f t="shared" si="33"/>
        <v/>
      </c>
      <c r="Q21" s="76" t="str">
        <f t="shared" si="33"/>
        <v/>
      </c>
      <c r="R21" s="76" t="str">
        <f t="shared" si="33"/>
        <v/>
      </c>
      <c r="S21" s="76" t="str">
        <f t="shared" si="33"/>
        <v/>
      </c>
      <c r="T21" s="76" t="str">
        <f t="shared" si="33"/>
        <v/>
      </c>
      <c r="U21" s="76" t="str">
        <f t="shared" si="33"/>
        <v/>
      </c>
      <c r="V21" s="76">
        <f t="shared" si="33"/>
        <v>5.333333333333401E-2</v>
      </c>
      <c r="W21" s="76">
        <f t="shared" si="33"/>
        <v>0.38666666666666732</v>
      </c>
      <c r="X21" s="76">
        <f t="shared" si="33"/>
        <v>0.72000000000000064</v>
      </c>
      <c r="Y21" s="76">
        <f t="shared" si="33"/>
        <v>1.0533333333333339</v>
      </c>
      <c r="Z21" s="76">
        <f t="shared" si="33"/>
        <v>1.3866666666666672</v>
      </c>
      <c r="AA21" s="76">
        <f t="shared" si="33"/>
        <v>1.7200000000000004</v>
      </c>
      <c r="AB21" s="76">
        <f t="shared" si="33"/>
        <v>2.0533333333333337</v>
      </c>
      <c r="AC21" s="76">
        <f t="shared" si="33"/>
        <v>2.3866666666666672</v>
      </c>
      <c r="AD21" s="76">
        <f t="shared" si="33"/>
        <v>2.7200000000000006</v>
      </c>
      <c r="AE21" s="76">
        <f t="shared" si="33"/>
        <v>3.0533333333333341</v>
      </c>
      <c r="AF21" s="76">
        <f t="shared" si="33"/>
        <v>3.3866666666666676</v>
      </c>
      <c r="AG21" s="76">
        <f t="shared" si="33"/>
        <v>3.7200000000000011</v>
      </c>
      <c r="AH21" s="76">
        <f t="shared" si="33"/>
        <v>4.0533333333333346</v>
      </c>
      <c r="AI21" s="76">
        <f t="shared" si="33"/>
        <v>4.3866666666666676</v>
      </c>
      <c r="AJ21" s="76">
        <f t="shared" si="33"/>
        <v>4.7200000000000006</v>
      </c>
      <c r="AK21" s="76">
        <f t="shared" si="33"/>
        <v>5.0533333333333337</v>
      </c>
      <c r="AL21" s="76">
        <f t="shared" si="33"/>
        <v>5.3866666666666667</v>
      </c>
      <c r="AM21" s="76">
        <f t="shared" si="33"/>
        <v>5.72</v>
      </c>
      <c r="AN21" s="76">
        <f t="shared" si="33"/>
        <v>5.72</v>
      </c>
      <c r="AO21" s="76">
        <f t="shared" si="33"/>
        <v>5.72</v>
      </c>
      <c r="AP21" s="76">
        <f t="shared" si="33"/>
        <v>5.72</v>
      </c>
      <c r="AQ21" s="76">
        <f t="shared" si="33"/>
        <v>5.72</v>
      </c>
      <c r="AR21" s="76">
        <f t="shared" si="33"/>
        <v>5.72</v>
      </c>
      <c r="AS21" s="77">
        <f t="shared" ref="AS21" si="34">IF(AS8&gt;$C$7,$AT$10,IFERROR(IF(AT21-$AU$8&lt;0,"",AT21-$AU$8),""))</f>
        <v>5.72</v>
      </c>
      <c r="AT21" s="68"/>
      <c r="BA21" s="71"/>
      <c r="BB21" s="70"/>
    </row>
    <row r="22" spans="1:66" s="74" customFormat="1" hidden="1" x14ac:dyDescent="0.25">
      <c r="A22" s="66"/>
      <c r="B22" s="67"/>
      <c r="C22" s="67"/>
      <c r="D22" s="78" t="str">
        <f t="shared" ref="D22:AR22" si="35">IF(D8&gt;$C$7,$AT$11,IFERROR(IF(E22-$AU$8&lt;0,"",E22-$AU$8),""))</f>
        <v/>
      </c>
      <c r="E22" s="72" t="str">
        <f t="shared" si="35"/>
        <v/>
      </c>
      <c r="F22" s="72" t="str">
        <f t="shared" si="35"/>
        <v/>
      </c>
      <c r="G22" s="72" t="str">
        <f t="shared" si="35"/>
        <v/>
      </c>
      <c r="H22" s="72" t="str">
        <f t="shared" si="35"/>
        <v/>
      </c>
      <c r="I22" s="72" t="str">
        <f t="shared" si="35"/>
        <v/>
      </c>
      <c r="J22" s="72" t="str">
        <f t="shared" si="35"/>
        <v/>
      </c>
      <c r="K22" s="72" t="str">
        <f t="shared" si="35"/>
        <v/>
      </c>
      <c r="L22" s="72" t="str">
        <f t="shared" si="35"/>
        <v/>
      </c>
      <c r="M22" s="72" t="str">
        <f t="shared" si="35"/>
        <v/>
      </c>
      <c r="N22" s="72" t="str">
        <f t="shared" si="35"/>
        <v/>
      </c>
      <c r="O22" s="72" t="str">
        <f t="shared" si="35"/>
        <v/>
      </c>
      <c r="P22" s="72" t="str">
        <f t="shared" si="35"/>
        <v/>
      </c>
      <c r="Q22" s="72" t="str">
        <f t="shared" si="35"/>
        <v/>
      </c>
      <c r="R22" s="72" t="str">
        <f t="shared" si="35"/>
        <v/>
      </c>
      <c r="S22" s="72" t="str">
        <f t="shared" si="35"/>
        <v/>
      </c>
      <c r="T22" s="72" t="str">
        <f t="shared" si="35"/>
        <v/>
      </c>
      <c r="U22" s="72">
        <f t="shared" si="35"/>
        <v>0.1966666666666676</v>
      </c>
      <c r="V22" s="72">
        <f t="shared" si="35"/>
        <v>0.53000000000000091</v>
      </c>
      <c r="W22" s="72">
        <f t="shared" si="35"/>
        <v>0.86333333333333417</v>
      </c>
      <c r="X22" s="72">
        <f t="shared" si="35"/>
        <v>1.1966666666666674</v>
      </c>
      <c r="Y22" s="72">
        <f t="shared" si="35"/>
        <v>1.5300000000000007</v>
      </c>
      <c r="Z22" s="72">
        <f t="shared" si="35"/>
        <v>1.863333333333334</v>
      </c>
      <c r="AA22" s="72">
        <f t="shared" si="35"/>
        <v>2.1966666666666672</v>
      </c>
      <c r="AB22" s="72">
        <f t="shared" si="35"/>
        <v>2.5300000000000007</v>
      </c>
      <c r="AC22" s="72">
        <f t="shared" si="35"/>
        <v>2.8633333333333342</v>
      </c>
      <c r="AD22" s="72">
        <f t="shared" si="35"/>
        <v>3.1966666666666677</v>
      </c>
      <c r="AE22" s="72">
        <f t="shared" si="35"/>
        <v>3.5300000000000011</v>
      </c>
      <c r="AF22" s="72">
        <f t="shared" si="35"/>
        <v>3.8633333333333346</v>
      </c>
      <c r="AG22" s="72">
        <f t="shared" si="35"/>
        <v>4.1966666666666681</v>
      </c>
      <c r="AH22" s="72">
        <f t="shared" si="35"/>
        <v>4.5300000000000011</v>
      </c>
      <c r="AI22" s="72">
        <f t="shared" si="35"/>
        <v>4.8633333333333342</v>
      </c>
      <c r="AJ22" s="72">
        <f t="shared" si="35"/>
        <v>5.1966666666666672</v>
      </c>
      <c r="AK22" s="72">
        <f t="shared" si="35"/>
        <v>5.53</v>
      </c>
      <c r="AL22" s="72">
        <f t="shared" si="35"/>
        <v>5.8633333333333333</v>
      </c>
      <c r="AM22" s="72">
        <f t="shared" si="35"/>
        <v>6.1966666666666663</v>
      </c>
      <c r="AN22" s="72">
        <f t="shared" si="35"/>
        <v>6.1966666666666663</v>
      </c>
      <c r="AO22" s="72">
        <f t="shared" si="35"/>
        <v>6.1966666666666663</v>
      </c>
      <c r="AP22" s="72">
        <f t="shared" si="35"/>
        <v>6.1966666666666663</v>
      </c>
      <c r="AQ22" s="72">
        <f t="shared" si="35"/>
        <v>6.1966666666666663</v>
      </c>
      <c r="AR22" s="72">
        <f t="shared" si="35"/>
        <v>6.1966666666666663</v>
      </c>
      <c r="AS22" s="79">
        <f>IF(AS8&gt;$C$7,$AT$11,IFERROR(IF(AT22-$AU$8&lt;0,"",AT22-$AU$8),""))</f>
        <v>6.1966666666666663</v>
      </c>
      <c r="AT22" s="73"/>
      <c r="BA22" s="71"/>
      <c r="BB22" s="70"/>
    </row>
    <row r="23" spans="1:66" s="74" customFormat="1" hidden="1" x14ac:dyDescent="0.25">
      <c r="A23" s="66"/>
      <c r="B23" s="67"/>
      <c r="C23" s="67"/>
      <c r="D23" s="78" t="str">
        <f t="shared" ref="D23:AR23" si="36">IF(D8&gt;$C$7,$AT$12,IFERROR(IF(E23-$AU$8&lt;0,"",E23-$AU$8),""))</f>
        <v/>
      </c>
      <c r="E23" s="72" t="str">
        <f t="shared" si="36"/>
        <v/>
      </c>
      <c r="F23" s="72" t="str">
        <f t="shared" si="36"/>
        <v/>
      </c>
      <c r="G23" s="72" t="str">
        <f t="shared" si="36"/>
        <v/>
      </c>
      <c r="H23" s="72" t="str">
        <f t="shared" si="36"/>
        <v/>
      </c>
      <c r="I23" s="72" t="str">
        <f t="shared" si="36"/>
        <v/>
      </c>
      <c r="J23" s="72" t="str">
        <f t="shared" si="36"/>
        <v/>
      </c>
      <c r="K23" s="72" t="str">
        <f t="shared" si="36"/>
        <v/>
      </c>
      <c r="L23" s="72" t="str">
        <f t="shared" si="36"/>
        <v/>
      </c>
      <c r="M23" s="72" t="str">
        <f t="shared" si="36"/>
        <v/>
      </c>
      <c r="N23" s="72" t="str">
        <f t="shared" si="36"/>
        <v/>
      </c>
      <c r="O23" s="72" t="str">
        <f t="shared" si="36"/>
        <v/>
      </c>
      <c r="P23" s="72" t="str">
        <f t="shared" si="36"/>
        <v/>
      </c>
      <c r="Q23" s="72" t="str">
        <f t="shared" si="36"/>
        <v/>
      </c>
      <c r="R23" s="72" t="str">
        <f t="shared" si="36"/>
        <v/>
      </c>
      <c r="S23" s="72">
        <f t="shared" si="36"/>
        <v>6.6666666666680419E-3</v>
      </c>
      <c r="T23" s="72">
        <f t="shared" si="36"/>
        <v>0.34000000000000136</v>
      </c>
      <c r="U23" s="72">
        <f t="shared" si="36"/>
        <v>0.67333333333333467</v>
      </c>
      <c r="V23" s="72">
        <f t="shared" si="36"/>
        <v>1.0066666666666679</v>
      </c>
      <c r="W23" s="72">
        <f t="shared" si="36"/>
        <v>1.3400000000000012</v>
      </c>
      <c r="X23" s="72">
        <f t="shared" si="36"/>
        <v>1.6733333333333344</v>
      </c>
      <c r="Y23" s="72">
        <f t="shared" si="36"/>
        <v>2.0066666666666677</v>
      </c>
      <c r="Z23" s="72">
        <f t="shared" si="36"/>
        <v>2.3400000000000012</v>
      </c>
      <c r="AA23" s="72">
        <f t="shared" si="36"/>
        <v>2.6733333333333347</v>
      </c>
      <c r="AB23" s="72">
        <f t="shared" si="36"/>
        <v>3.0066666666666682</v>
      </c>
      <c r="AC23" s="72">
        <f t="shared" si="36"/>
        <v>3.3400000000000016</v>
      </c>
      <c r="AD23" s="72">
        <f t="shared" si="36"/>
        <v>3.6733333333333351</v>
      </c>
      <c r="AE23" s="72">
        <f t="shared" si="36"/>
        <v>4.0066666666666686</v>
      </c>
      <c r="AF23" s="72">
        <f t="shared" si="36"/>
        <v>4.3400000000000016</v>
      </c>
      <c r="AG23" s="72">
        <f t="shared" si="36"/>
        <v>4.6733333333333347</v>
      </c>
      <c r="AH23" s="72">
        <f t="shared" si="36"/>
        <v>5.0066666666666677</v>
      </c>
      <c r="AI23" s="72">
        <f t="shared" si="36"/>
        <v>5.3400000000000007</v>
      </c>
      <c r="AJ23" s="72">
        <f t="shared" si="36"/>
        <v>5.6733333333333338</v>
      </c>
      <c r="AK23" s="72">
        <f t="shared" si="36"/>
        <v>6.0066666666666668</v>
      </c>
      <c r="AL23" s="72">
        <f t="shared" si="36"/>
        <v>6.34</v>
      </c>
      <c r="AM23" s="72">
        <f t="shared" si="36"/>
        <v>6.6733333333333329</v>
      </c>
      <c r="AN23" s="72">
        <f t="shared" si="36"/>
        <v>6.6733333333333329</v>
      </c>
      <c r="AO23" s="72">
        <f t="shared" si="36"/>
        <v>6.6733333333333329</v>
      </c>
      <c r="AP23" s="72">
        <f t="shared" si="36"/>
        <v>6.6733333333333329</v>
      </c>
      <c r="AQ23" s="72">
        <f t="shared" si="36"/>
        <v>6.6733333333333329</v>
      </c>
      <c r="AR23" s="72">
        <f t="shared" si="36"/>
        <v>6.6733333333333329</v>
      </c>
      <c r="AS23" s="79">
        <f>IF(AS8&gt;$C$7,$AT$12,IFERROR(IF(AT23-$AU$8&lt;0,"",AT23-$AU$8),""))</f>
        <v>6.6733333333333329</v>
      </c>
      <c r="AT23" s="73"/>
      <c r="BA23" s="71"/>
      <c r="BB23" s="70"/>
    </row>
    <row r="24" spans="1:66" s="74" customFormat="1" hidden="1" x14ac:dyDescent="0.25">
      <c r="A24" s="66"/>
      <c r="B24" s="67"/>
      <c r="C24" s="67"/>
      <c r="D24" s="78" t="str">
        <f t="shared" ref="D24:AR24" si="37">IF(D8&gt;$C$7,$AT$13,IFERROR(IF(E24-$AU$8&lt;0,"",E24-$AU$8),""))</f>
        <v/>
      </c>
      <c r="E24" s="72" t="str">
        <f t="shared" si="37"/>
        <v/>
      </c>
      <c r="F24" s="72" t="str">
        <f t="shared" si="37"/>
        <v/>
      </c>
      <c r="G24" s="72" t="str">
        <f t="shared" si="37"/>
        <v/>
      </c>
      <c r="H24" s="72" t="str">
        <f t="shared" si="37"/>
        <v/>
      </c>
      <c r="I24" s="72" t="str">
        <f t="shared" si="37"/>
        <v/>
      </c>
      <c r="J24" s="72" t="str">
        <f t="shared" si="37"/>
        <v/>
      </c>
      <c r="K24" s="72" t="str">
        <f t="shared" si="37"/>
        <v/>
      </c>
      <c r="L24" s="72" t="str">
        <f t="shared" si="37"/>
        <v/>
      </c>
      <c r="M24" s="72" t="str">
        <f t="shared" si="37"/>
        <v/>
      </c>
      <c r="N24" s="72" t="str">
        <f t="shared" si="37"/>
        <v/>
      </c>
      <c r="O24" s="72" t="str">
        <f t="shared" si="37"/>
        <v/>
      </c>
      <c r="P24" s="72" t="str">
        <f t="shared" si="37"/>
        <v/>
      </c>
      <c r="Q24" s="72" t="str">
        <f t="shared" si="37"/>
        <v/>
      </c>
      <c r="R24" s="72" t="str">
        <f t="shared" si="37"/>
        <v/>
      </c>
      <c r="S24" s="72">
        <f t="shared" si="37"/>
        <v>0.29266666666666857</v>
      </c>
      <c r="T24" s="72">
        <f t="shared" si="37"/>
        <v>0.62600000000000189</v>
      </c>
      <c r="U24" s="72">
        <f t="shared" si="37"/>
        <v>0.95933333333333515</v>
      </c>
      <c r="V24" s="72">
        <f t="shared" si="37"/>
        <v>1.2926666666666684</v>
      </c>
      <c r="W24" s="72">
        <f t="shared" si="37"/>
        <v>1.6260000000000017</v>
      </c>
      <c r="X24" s="72">
        <f t="shared" si="37"/>
        <v>1.9593333333333349</v>
      </c>
      <c r="Y24" s="72">
        <f t="shared" si="37"/>
        <v>2.2926666666666682</v>
      </c>
      <c r="Z24" s="72">
        <f t="shared" si="37"/>
        <v>2.6260000000000017</v>
      </c>
      <c r="AA24" s="72">
        <f t="shared" si="37"/>
        <v>2.9593333333333351</v>
      </c>
      <c r="AB24" s="72">
        <f t="shared" si="37"/>
        <v>3.2926666666666686</v>
      </c>
      <c r="AC24" s="72">
        <f t="shared" si="37"/>
        <v>3.6260000000000021</v>
      </c>
      <c r="AD24" s="72">
        <f t="shared" si="37"/>
        <v>3.9593333333333356</v>
      </c>
      <c r="AE24" s="72">
        <f t="shared" si="37"/>
        <v>4.2926666666666691</v>
      </c>
      <c r="AF24" s="72">
        <f t="shared" si="37"/>
        <v>4.6260000000000021</v>
      </c>
      <c r="AG24" s="72">
        <f t="shared" si="37"/>
        <v>4.9593333333333351</v>
      </c>
      <c r="AH24" s="72">
        <f t="shared" si="37"/>
        <v>5.2926666666666682</v>
      </c>
      <c r="AI24" s="72">
        <f t="shared" si="37"/>
        <v>5.6260000000000012</v>
      </c>
      <c r="AJ24" s="72">
        <f t="shared" si="37"/>
        <v>5.9593333333333343</v>
      </c>
      <c r="AK24" s="72">
        <f t="shared" si="37"/>
        <v>6.2926666666666673</v>
      </c>
      <c r="AL24" s="72">
        <f t="shared" si="37"/>
        <v>6.6260000000000003</v>
      </c>
      <c r="AM24" s="72">
        <f t="shared" si="37"/>
        <v>6.9593333333333334</v>
      </c>
      <c r="AN24" s="72">
        <f t="shared" si="37"/>
        <v>6.9593333333333334</v>
      </c>
      <c r="AO24" s="72">
        <f t="shared" si="37"/>
        <v>6.9593333333333334</v>
      </c>
      <c r="AP24" s="72">
        <f t="shared" si="37"/>
        <v>6.9593333333333334</v>
      </c>
      <c r="AQ24" s="72">
        <f t="shared" si="37"/>
        <v>6.9593333333333334</v>
      </c>
      <c r="AR24" s="72">
        <f t="shared" si="37"/>
        <v>6.9593333333333334</v>
      </c>
      <c r="AS24" s="79">
        <f>IF(AS8&gt;$C$7,$AT$13,IFERROR(IF(AT24-$AU$8&lt;0,"",AT24-$AU$8),""))</f>
        <v>6.9593333333333334</v>
      </c>
      <c r="AT24" s="73"/>
      <c r="BA24" s="71"/>
      <c r="BB24" s="70"/>
    </row>
    <row r="25" spans="1:66" s="74" customFormat="1" hidden="1" x14ac:dyDescent="0.25">
      <c r="A25" s="66"/>
      <c r="B25" s="67"/>
      <c r="C25" s="67"/>
      <c r="D25" s="78" t="str">
        <f t="shared" ref="D25:AR25" si="38">IF(D8&gt;$C$7,$AT$14,IFERROR(IF(E25-$AU$8&lt;0,"",E25-$AU$8),""))</f>
        <v/>
      </c>
      <c r="E25" s="72" t="str">
        <f t="shared" si="38"/>
        <v/>
      </c>
      <c r="F25" s="72" t="str">
        <f t="shared" si="38"/>
        <v/>
      </c>
      <c r="G25" s="72" t="str">
        <f t="shared" si="38"/>
        <v/>
      </c>
      <c r="H25" s="72" t="str">
        <f t="shared" si="38"/>
        <v/>
      </c>
      <c r="I25" s="72" t="str">
        <f t="shared" si="38"/>
        <v/>
      </c>
      <c r="J25" s="72" t="str">
        <f t="shared" si="38"/>
        <v/>
      </c>
      <c r="K25" s="72" t="str">
        <f t="shared" si="38"/>
        <v/>
      </c>
      <c r="L25" s="72" t="str">
        <f t="shared" si="38"/>
        <v/>
      </c>
      <c r="M25" s="72" t="str">
        <f t="shared" si="38"/>
        <v/>
      </c>
      <c r="N25" s="72" t="str">
        <f t="shared" si="38"/>
        <v/>
      </c>
      <c r="O25" s="72" t="str">
        <f t="shared" si="38"/>
        <v/>
      </c>
      <c r="P25" s="72" t="str">
        <f t="shared" si="38"/>
        <v/>
      </c>
      <c r="Q25" s="72" t="str">
        <f t="shared" si="38"/>
        <v/>
      </c>
      <c r="R25" s="72">
        <f t="shared" si="38"/>
        <v>0.24533333333333601</v>
      </c>
      <c r="S25" s="72">
        <f t="shared" si="38"/>
        <v>0.57866666666666933</v>
      </c>
      <c r="T25" s="72">
        <f t="shared" si="38"/>
        <v>0.91200000000000259</v>
      </c>
      <c r="U25" s="72">
        <f t="shared" si="38"/>
        <v>1.2453333333333358</v>
      </c>
      <c r="V25" s="72">
        <f t="shared" si="38"/>
        <v>1.5786666666666691</v>
      </c>
      <c r="W25" s="72">
        <f t="shared" si="38"/>
        <v>1.9120000000000024</v>
      </c>
      <c r="X25" s="72">
        <f t="shared" si="38"/>
        <v>2.2453333333333356</v>
      </c>
      <c r="Y25" s="72">
        <f t="shared" si="38"/>
        <v>2.5786666666666691</v>
      </c>
      <c r="Z25" s="72">
        <f t="shared" si="38"/>
        <v>2.9120000000000026</v>
      </c>
      <c r="AA25" s="72">
        <f t="shared" si="38"/>
        <v>3.2453333333333361</v>
      </c>
      <c r="AB25" s="72">
        <f t="shared" si="38"/>
        <v>3.5786666666666695</v>
      </c>
      <c r="AC25" s="72">
        <f t="shared" si="38"/>
        <v>3.912000000000003</v>
      </c>
      <c r="AD25" s="72">
        <f t="shared" si="38"/>
        <v>4.2453333333333365</v>
      </c>
      <c r="AE25" s="72">
        <f t="shared" si="38"/>
        <v>4.5786666666666695</v>
      </c>
      <c r="AF25" s="72">
        <f t="shared" si="38"/>
        <v>4.9120000000000026</v>
      </c>
      <c r="AG25" s="72">
        <f t="shared" si="38"/>
        <v>5.2453333333333356</v>
      </c>
      <c r="AH25" s="72">
        <f t="shared" si="38"/>
        <v>5.5786666666666687</v>
      </c>
      <c r="AI25" s="72">
        <f t="shared" si="38"/>
        <v>5.9120000000000017</v>
      </c>
      <c r="AJ25" s="72">
        <f t="shared" si="38"/>
        <v>6.2453333333333347</v>
      </c>
      <c r="AK25" s="72">
        <f t="shared" si="38"/>
        <v>6.5786666666666678</v>
      </c>
      <c r="AL25" s="72">
        <f t="shared" si="38"/>
        <v>6.9120000000000008</v>
      </c>
      <c r="AM25" s="72">
        <f t="shared" si="38"/>
        <v>7.2453333333333338</v>
      </c>
      <c r="AN25" s="72">
        <f t="shared" si="38"/>
        <v>7.2453333333333338</v>
      </c>
      <c r="AO25" s="72">
        <f t="shared" si="38"/>
        <v>7.2453333333333338</v>
      </c>
      <c r="AP25" s="72">
        <f t="shared" si="38"/>
        <v>7.2453333333333338</v>
      </c>
      <c r="AQ25" s="72">
        <f t="shared" si="38"/>
        <v>7.2453333333333338</v>
      </c>
      <c r="AR25" s="72">
        <f t="shared" si="38"/>
        <v>7.2453333333333338</v>
      </c>
      <c r="AS25" s="79">
        <f>IF(AS8&gt;$C$7,$AT$14,IFERROR(IF(AT25-$AU$8&lt;0,"",AT25-$AU$8),""))</f>
        <v>7.2453333333333338</v>
      </c>
      <c r="AT25" s="73"/>
      <c r="BA25" s="71"/>
      <c r="BB25" s="70"/>
    </row>
    <row r="26" spans="1:66" s="74" customFormat="1" hidden="1" x14ac:dyDescent="0.25">
      <c r="A26" s="66"/>
      <c r="B26" s="67"/>
      <c r="C26" s="67"/>
      <c r="D26" s="78" t="str">
        <f t="shared" ref="D26:AR26" si="39">IF(D8&gt;$C$7,$AT$15,IFERROR(IF(E26-$AU$8&lt;0,"",E26-$AU$8),""))</f>
        <v/>
      </c>
      <c r="E26" s="72" t="str">
        <f t="shared" si="39"/>
        <v/>
      </c>
      <c r="F26" s="72" t="str">
        <f t="shared" si="39"/>
        <v/>
      </c>
      <c r="G26" s="72" t="str">
        <f t="shared" si="39"/>
        <v/>
      </c>
      <c r="H26" s="72" t="str">
        <f t="shared" si="39"/>
        <v/>
      </c>
      <c r="I26" s="72" t="str">
        <f t="shared" si="39"/>
        <v/>
      </c>
      <c r="J26" s="72" t="str">
        <f t="shared" si="39"/>
        <v/>
      </c>
      <c r="K26" s="72" t="str">
        <f t="shared" si="39"/>
        <v/>
      </c>
      <c r="L26" s="72" t="str">
        <f t="shared" si="39"/>
        <v/>
      </c>
      <c r="M26" s="72" t="str">
        <f t="shared" si="39"/>
        <v/>
      </c>
      <c r="N26" s="72" t="str">
        <f t="shared" si="39"/>
        <v/>
      </c>
      <c r="O26" s="72" t="str">
        <f t="shared" si="39"/>
        <v/>
      </c>
      <c r="P26" s="72" t="str">
        <f t="shared" si="39"/>
        <v/>
      </c>
      <c r="Q26" s="72">
        <f t="shared" si="39"/>
        <v>0.29333333333333694</v>
      </c>
      <c r="R26" s="72">
        <f t="shared" si="39"/>
        <v>0.62666666666667026</v>
      </c>
      <c r="S26" s="72">
        <f t="shared" si="39"/>
        <v>0.96000000000000352</v>
      </c>
      <c r="T26" s="72">
        <f t="shared" si="39"/>
        <v>1.2933333333333368</v>
      </c>
      <c r="U26" s="72">
        <f t="shared" si="39"/>
        <v>1.62666666666667</v>
      </c>
      <c r="V26" s="72">
        <f t="shared" si="39"/>
        <v>1.9600000000000033</v>
      </c>
      <c r="W26" s="72">
        <f t="shared" si="39"/>
        <v>2.2933333333333366</v>
      </c>
      <c r="X26" s="72">
        <f t="shared" si="39"/>
        <v>2.62666666666667</v>
      </c>
      <c r="Y26" s="72">
        <f t="shared" si="39"/>
        <v>2.9600000000000035</v>
      </c>
      <c r="Z26" s="72">
        <f t="shared" si="39"/>
        <v>3.293333333333337</v>
      </c>
      <c r="AA26" s="72">
        <f t="shared" si="39"/>
        <v>3.6266666666666705</v>
      </c>
      <c r="AB26" s="72">
        <f t="shared" si="39"/>
        <v>3.960000000000004</v>
      </c>
      <c r="AC26" s="72">
        <f t="shared" si="39"/>
        <v>4.2933333333333374</v>
      </c>
      <c r="AD26" s="72">
        <f t="shared" si="39"/>
        <v>4.6266666666666705</v>
      </c>
      <c r="AE26" s="72">
        <f t="shared" si="39"/>
        <v>4.9600000000000035</v>
      </c>
      <c r="AF26" s="72">
        <f t="shared" si="39"/>
        <v>5.2933333333333366</v>
      </c>
      <c r="AG26" s="72">
        <f t="shared" si="39"/>
        <v>5.6266666666666696</v>
      </c>
      <c r="AH26" s="72">
        <f t="shared" si="39"/>
        <v>5.9600000000000026</v>
      </c>
      <c r="AI26" s="72">
        <f t="shared" si="39"/>
        <v>6.2933333333333357</v>
      </c>
      <c r="AJ26" s="72">
        <f t="shared" si="39"/>
        <v>6.6266666666666687</v>
      </c>
      <c r="AK26" s="72">
        <f t="shared" si="39"/>
        <v>6.9600000000000017</v>
      </c>
      <c r="AL26" s="72">
        <f t="shared" si="39"/>
        <v>7.2933333333333348</v>
      </c>
      <c r="AM26" s="72">
        <f t="shared" si="39"/>
        <v>7.6266666666666678</v>
      </c>
      <c r="AN26" s="72">
        <f t="shared" si="39"/>
        <v>7.6266666666666678</v>
      </c>
      <c r="AO26" s="72">
        <f t="shared" si="39"/>
        <v>7.6266666666666678</v>
      </c>
      <c r="AP26" s="72">
        <f t="shared" si="39"/>
        <v>7.6266666666666678</v>
      </c>
      <c r="AQ26" s="72">
        <f t="shared" si="39"/>
        <v>7.6266666666666678</v>
      </c>
      <c r="AR26" s="72">
        <f t="shared" si="39"/>
        <v>7.6266666666666678</v>
      </c>
      <c r="AS26" s="79">
        <f>IF(AS8&gt;$C$7,$AT$15,IFERROR(IF(AT26-$AU$8&lt;0,"",AT26-$AU$8),""))</f>
        <v>7.6266666666666678</v>
      </c>
      <c r="AT26" s="73"/>
      <c r="BA26" s="71"/>
      <c r="BB26" s="70"/>
    </row>
    <row r="27" spans="1:66" s="74" customFormat="1" hidden="1" x14ac:dyDescent="0.25">
      <c r="A27" s="66"/>
      <c r="B27" s="67"/>
      <c r="C27" s="67"/>
      <c r="D27" s="78" t="str">
        <f t="shared" ref="D27:AR27" si="40">IF(D8&gt;$C$7,$AT$16,IFERROR(IF(E27-$AU$8&lt;0,"",E27-$AU$8),""))</f>
        <v/>
      </c>
      <c r="E27" s="72" t="str">
        <f t="shared" si="40"/>
        <v/>
      </c>
      <c r="F27" s="72" t="str">
        <f t="shared" si="40"/>
        <v/>
      </c>
      <c r="G27" s="72" t="str">
        <f t="shared" si="40"/>
        <v/>
      </c>
      <c r="H27" s="72" t="str">
        <f t="shared" si="40"/>
        <v/>
      </c>
      <c r="I27" s="72" t="str">
        <f t="shared" si="40"/>
        <v/>
      </c>
      <c r="J27" s="72" t="str">
        <f t="shared" si="40"/>
        <v/>
      </c>
      <c r="K27" s="72" t="str">
        <f t="shared" si="40"/>
        <v/>
      </c>
      <c r="L27" s="72" t="str">
        <f t="shared" si="40"/>
        <v/>
      </c>
      <c r="M27" s="72" t="str">
        <f t="shared" si="40"/>
        <v/>
      </c>
      <c r="N27" s="72" t="str">
        <f t="shared" si="40"/>
        <v/>
      </c>
      <c r="O27" s="72">
        <f t="shared" si="40"/>
        <v>0.1033333333333365</v>
      </c>
      <c r="P27" s="72">
        <f t="shared" si="40"/>
        <v>0.43666666666666981</v>
      </c>
      <c r="Q27" s="72">
        <f t="shared" si="40"/>
        <v>0.77000000000000313</v>
      </c>
      <c r="R27" s="72">
        <f t="shared" si="40"/>
        <v>1.1033333333333364</v>
      </c>
      <c r="S27" s="72">
        <f t="shared" si="40"/>
        <v>1.4366666666666696</v>
      </c>
      <c r="T27" s="72">
        <f t="shared" si="40"/>
        <v>1.7700000000000029</v>
      </c>
      <c r="U27" s="72">
        <f t="shared" si="40"/>
        <v>2.1033333333333362</v>
      </c>
      <c r="V27" s="72">
        <f t="shared" si="40"/>
        <v>2.4366666666666696</v>
      </c>
      <c r="W27" s="72">
        <f t="shared" si="40"/>
        <v>2.7700000000000031</v>
      </c>
      <c r="X27" s="72">
        <f t="shared" si="40"/>
        <v>3.1033333333333366</v>
      </c>
      <c r="Y27" s="72">
        <f t="shared" si="40"/>
        <v>3.4366666666666701</v>
      </c>
      <c r="Z27" s="72">
        <f t="shared" si="40"/>
        <v>3.7700000000000036</v>
      </c>
      <c r="AA27" s="72">
        <f t="shared" si="40"/>
        <v>4.1033333333333371</v>
      </c>
      <c r="AB27" s="72">
        <f t="shared" si="40"/>
        <v>4.4366666666666701</v>
      </c>
      <c r="AC27" s="72">
        <f t="shared" si="40"/>
        <v>4.7700000000000031</v>
      </c>
      <c r="AD27" s="72">
        <f t="shared" si="40"/>
        <v>5.1033333333333362</v>
      </c>
      <c r="AE27" s="72">
        <f t="shared" si="40"/>
        <v>5.4366666666666692</v>
      </c>
      <c r="AF27" s="72">
        <f t="shared" si="40"/>
        <v>5.7700000000000022</v>
      </c>
      <c r="AG27" s="72">
        <f t="shared" si="40"/>
        <v>6.1033333333333353</v>
      </c>
      <c r="AH27" s="72">
        <f t="shared" si="40"/>
        <v>6.4366666666666683</v>
      </c>
      <c r="AI27" s="72">
        <f t="shared" si="40"/>
        <v>6.7700000000000014</v>
      </c>
      <c r="AJ27" s="72">
        <f t="shared" si="40"/>
        <v>7.1033333333333344</v>
      </c>
      <c r="AK27" s="72">
        <f t="shared" si="40"/>
        <v>7.4366666666666674</v>
      </c>
      <c r="AL27" s="72">
        <f t="shared" si="40"/>
        <v>7.7700000000000005</v>
      </c>
      <c r="AM27" s="72">
        <f t="shared" si="40"/>
        <v>8.1033333333333335</v>
      </c>
      <c r="AN27" s="72">
        <f t="shared" si="40"/>
        <v>8.1033333333333335</v>
      </c>
      <c r="AO27" s="72">
        <f t="shared" si="40"/>
        <v>8.1033333333333335</v>
      </c>
      <c r="AP27" s="72">
        <f t="shared" si="40"/>
        <v>8.1033333333333335</v>
      </c>
      <c r="AQ27" s="72">
        <f t="shared" si="40"/>
        <v>8.1033333333333335</v>
      </c>
      <c r="AR27" s="72">
        <f t="shared" si="40"/>
        <v>8.1033333333333335</v>
      </c>
      <c r="AS27" s="79">
        <f>IF(AS8&gt;$C$7,$AT$16,IFERROR(IF(AT27-$AU$8&lt;0,"",AT27-$AU$8),""))</f>
        <v>8.1033333333333335</v>
      </c>
      <c r="AT27" s="73"/>
      <c r="BA27" s="71"/>
      <c r="BB27" s="70"/>
    </row>
    <row r="28" spans="1:66" s="74" customFormat="1" hidden="1" x14ac:dyDescent="0.25">
      <c r="A28" s="66"/>
      <c r="B28" s="67"/>
      <c r="C28" s="67"/>
      <c r="D28" s="78" t="str">
        <f t="shared" ref="D28:AR28" si="41">IF(D8&gt;$C$7,$AT$17,IFERROR(IF(E28-$AU$8&lt;0,"",E28-$AU$8),""))</f>
        <v/>
      </c>
      <c r="E28" s="72" t="str">
        <f t="shared" si="41"/>
        <v/>
      </c>
      <c r="F28" s="72" t="str">
        <f t="shared" si="41"/>
        <v/>
      </c>
      <c r="G28" s="72" t="str">
        <f t="shared" si="41"/>
        <v/>
      </c>
      <c r="H28" s="72" t="str">
        <f t="shared" si="41"/>
        <v/>
      </c>
      <c r="I28" s="72" t="str">
        <f t="shared" si="41"/>
        <v/>
      </c>
      <c r="J28" s="72" t="str">
        <f t="shared" si="41"/>
        <v/>
      </c>
      <c r="K28" s="72" t="str">
        <f t="shared" si="41"/>
        <v/>
      </c>
      <c r="L28" s="72" t="str">
        <f t="shared" si="41"/>
        <v/>
      </c>
      <c r="M28" s="72" t="str">
        <f t="shared" si="41"/>
        <v/>
      </c>
      <c r="N28" s="72">
        <f t="shared" si="41"/>
        <v>0.2466666666666692</v>
      </c>
      <c r="O28" s="72">
        <f t="shared" si="41"/>
        <v>0.58000000000000251</v>
      </c>
      <c r="P28" s="72">
        <f t="shared" si="41"/>
        <v>0.91333333333333577</v>
      </c>
      <c r="Q28" s="72">
        <f t="shared" si="41"/>
        <v>1.246666666666669</v>
      </c>
      <c r="R28" s="72">
        <f t="shared" si="41"/>
        <v>1.5800000000000023</v>
      </c>
      <c r="S28" s="72">
        <f t="shared" si="41"/>
        <v>1.9133333333333356</v>
      </c>
      <c r="T28" s="72">
        <f t="shared" si="41"/>
        <v>2.2466666666666688</v>
      </c>
      <c r="U28" s="72">
        <f t="shared" si="41"/>
        <v>2.5800000000000023</v>
      </c>
      <c r="V28" s="72">
        <f t="shared" si="41"/>
        <v>2.9133333333333358</v>
      </c>
      <c r="W28" s="72">
        <f t="shared" si="41"/>
        <v>3.2466666666666693</v>
      </c>
      <c r="X28" s="72">
        <f t="shared" si="41"/>
        <v>3.5800000000000027</v>
      </c>
      <c r="Y28" s="72">
        <f t="shared" si="41"/>
        <v>3.9133333333333362</v>
      </c>
      <c r="Z28" s="72">
        <f t="shared" si="41"/>
        <v>4.2466666666666697</v>
      </c>
      <c r="AA28" s="72">
        <f t="shared" si="41"/>
        <v>4.5800000000000027</v>
      </c>
      <c r="AB28" s="72">
        <f t="shared" si="41"/>
        <v>4.9133333333333358</v>
      </c>
      <c r="AC28" s="72">
        <f t="shared" si="41"/>
        <v>5.2466666666666688</v>
      </c>
      <c r="AD28" s="72">
        <f t="shared" si="41"/>
        <v>5.5800000000000018</v>
      </c>
      <c r="AE28" s="72">
        <f t="shared" si="41"/>
        <v>5.9133333333333349</v>
      </c>
      <c r="AF28" s="72">
        <f t="shared" si="41"/>
        <v>6.2466666666666679</v>
      </c>
      <c r="AG28" s="72">
        <f t="shared" si="41"/>
        <v>6.580000000000001</v>
      </c>
      <c r="AH28" s="72">
        <f t="shared" si="41"/>
        <v>6.913333333333334</v>
      </c>
      <c r="AI28" s="72">
        <f t="shared" si="41"/>
        <v>7.246666666666667</v>
      </c>
      <c r="AJ28" s="72">
        <f t="shared" si="41"/>
        <v>7.58</v>
      </c>
      <c r="AK28" s="72">
        <f t="shared" si="41"/>
        <v>7.9133333333333331</v>
      </c>
      <c r="AL28" s="72">
        <f t="shared" si="41"/>
        <v>8.2466666666666661</v>
      </c>
      <c r="AM28" s="72">
        <f t="shared" si="41"/>
        <v>8.58</v>
      </c>
      <c r="AN28" s="72">
        <f t="shared" si="41"/>
        <v>8.58</v>
      </c>
      <c r="AO28" s="72">
        <f t="shared" si="41"/>
        <v>8.58</v>
      </c>
      <c r="AP28" s="72">
        <f t="shared" si="41"/>
        <v>8.58</v>
      </c>
      <c r="AQ28" s="72">
        <f t="shared" si="41"/>
        <v>8.58</v>
      </c>
      <c r="AR28" s="72">
        <f t="shared" si="41"/>
        <v>8.58</v>
      </c>
      <c r="AS28" s="79">
        <f>IF(AS8&gt;$C$7,$AT$17,IFERROR(IF(AT28-$AU$8&lt;0,"",AT28-$AU$8),""))</f>
        <v>8.58</v>
      </c>
      <c r="AT28" s="73"/>
      <c r="BA28" s="71"/>
      <c r="BB28" s="70"/>
    </row>
    <row r="29" spans="1:66" s="74" customFormat="1" hidden="1" x14ac:dyDescent="0.25">
      <c r="A29" s="66"/>
      <c r="B29" s="67"/>
      <c r="C29" s="67"/>
      <c r="D29" s="80" t="str">
        <f t="shared" ref="D29:AR29" si="42">IF(D8&gt;$C$7,$AT$18,IFERROR(IF(E29-$AU$8&lt;0,"",E29-$AU$8),""))</f>
        <v/>
      </c>
      <c r="E29" s="81" t="str">
        <f t="shared" si="42"/>
        <v/>
      </c>
      <c r="F29" s="81" t="str">
        <f t="shared" si="42"/>
        <v/>
      </c>
      <c r="G29" s="81" t="str">
        <f t="shared" si="42"/>
        <v/>
      </c>
      <c r="H29" s="81" t="str">
        <f t="shared" si="42"/>
        <v/>
      </c>
      <c r="I29" s="81" t="str">
        <f t="shared" si="42"/>
        <v/>
      </c>
      <c r="J29" s="81" t="str">
        <f t="shared" si="42"/>
        <v/>
      </c>
      <c r="K29" s="81" t="str">
        <f t="shared" si="42"/>
        <v/>
      </c>
      <c r="L29" s="81">
        <f t="shared" si="42"/>
        <v>5.6666666666667864E-2</v>
      </c>
      <c r="M29" s="81">
        <f t="shared" si="42"/>
        <v>0.39000000000000118</v>
      </c>
      <c r="N29" s="81">
        <f t="shared" si="42"/>
        <v>0.72333333333333449</v>
      </c>
      <c r="O29" s="81">
        <f t="shared" si="42"/>
        <v>1.0566666666666678</v>
      </c>
      <c r="P29" s="81">
        <f t="shared" si="42"/>
        <v>1.390000000000001</v>
      </c>
      <c r="Q29" s="81">
        <f t="shared" si="42"/>
        <v>1.7233333333333343</v>
      </c>
      <c r="R29" s="81">
        <f t="shared" si="42"/>
        <v>2.0566666666666675</v>
      </c>
      <c r="S29" s="81">
        <f t="shared" si="42"/>
        <v>2.390000000000001</v>
      </c>
      <c r="T29" s="81">
        <f t="shared" si="42"/>
        <v>2.7233333333333345</v>
      </c>
      <c r="U29" s="81">
        <f t="shared" si="42"/>
        <v>3.056666666666668</v>
      </c>
      <c r="V29" s="81">
        <f t="shared" si="42"/>
        <v>3.3900000000000015</v>
      </c>
      <c r="W29" s="81">
        <f t="shared" si="42"/>
        <v>3.7233333333333349</v>
      </c>
      <c r="X29" s="81">
        <f t="shared" si="42"/>
        <v>4.0566666666666684</v>
      </c>
      <c r="Y29" s="81">
        <f t="shared" si="42"/>
        <v>4.3900000000000015</v>
      </c>
      <c r="Z29" s="81">
        <f t="shared" si="42"/>
        <v>4.7233333333333345</v>
      </c>
      <c r="AA29" s="81">
        <f t="shared" si="42"/>
        <v>5.0566666666666675</v>
      </c>
      <c r="AB29" s="81">
        <f t="shared" si="42"/>
        <v>5.3900000000000006</v>
      </c>
      <c r="AC29" s="81">
        <f t="shared" si="42"/>
        <v>5.7233333333333336</v>
      </c>
      <c r="AD29" s="81">
        <f t="shared" si="42"/>
        <v>6.0566666666666666</v>
      </c>
      <c r="AE29" s="81">
        <f t="shared" si="42"/>
        <v>6.39</v>
      </c>
      <c r="AF29" s="81">
        <f t="shared" si="42"/>
        <v>6.7233333333333327</v>
      </c>
      <c r="AG29" s="81">
        <f t="shared" si="42"/>
        <v>7.0566666666666658</v>
      </c>
      <c r="AH29" s="81">
        <f t="shared" si="42"/>
        <v>7.3899999999999988</v>
      </c>
      <c r="AI29" s="81">
        <f t="shared" si="42"/>
        <v>7.7233333333333318</v>
      </c>
      <c r="AJ29" s="81">
        <f t="shared" si="42"/>
        <v>8.0566666666666649</v>
      </c>
      <c r="AK29" s="81">
        <f t="shared" si="42"/>
        <v>8.3899999999999988</v>
      </c>
      <c r="AL29" s="81">
        <f t="shared" si="42"/>
        <v>8.7233333333333327</v>
      </c>
      <c r="AM29" s="81">
        <f t="shared" si="42"/>
        <v>9.0566666666666666</v>
      </c>
      <c r="AN29" s="81">
        <f t="shared" si="42"/>
        <v>9.0566666666666666</v>
      </c>
      <c r="AO29" s="81">
        <f t="shared" si="42"/>
        <v>9.0566666666666666</v>
      </c>
      <c r="AP29" s="81">
        <f t="shared" si="42"/>
        <v>9.0566666666666666</v>
      </c>
      <c r="AQ29" s="81">
        <f t="shared" si="42"/>
        <v>9.0566666666666666</v>
      </c>
      <c r="AR29" s="81">
        <f t="shared" si="42"/>
        <v>9.0566666666666666</v>
      </c>
      <c r="AS29" s="82">
        <f>IF(AS8&gt;$C$7,$AT$18,IFERROR(IF(AT29-$AU$8&lt;0,"",AT29-$AU$8),""))</f>
        <v>9.0566666666666666</v>
      </c>
      <c r="AT29" s="73"/>
      <c r="BA29" s="71"/>
      <c r="BB29" s="70"/>
    </row>
    <row r="30" spans="1:66" x14ac:dyDescent="0.25">
      <c r="A30" s="3"/>
      <c r="B30" s="6" t="s">
        <v>60</v>
      </c>
      <c r="C30" s="6" t="s">
        <v>65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20"/>
      <c r="AT30" s="64"/>
    </row>
    <row r="31" spans="1:66" x14ac:dyDescent="0.25">
      <c r="B31" s="5" t="s">
        <v>66</v>
      </c>
      <c r="C31" s="5" t="s">
        <v>67</v>
      </c>
      <c r="AS31" s="20"/>
    </row>
    <row r="32" spans="1:66" x14ac:dyDescent="0.25">
      <c r="AM32" s="62"/>
      <c r="AN32" s="62"/>
      <c r="AO32" s="62"/>
    </row>
    <row r="33" spans="1:54" ht="15.75" thickBot="1" x14ac:dyDescent="0.3">
      <c r="B33" s="120" t="s">
        <v>68</v>
      </c>
      <c r="C33" s="5" t="s">
        <v>80</v>
      </c>
      <c r="D33" s="146" t="s">
        <v>81</v>
      </c>
      <c r="E33" s="139" t="s">
        <v>89</v>
      </c>
      <c r="F33" s="139"/>
      <c r="G33" s="139"/>
      <c r="H33" s="139"/>
      <c r="I33" s="164" t="s">
        <v>88</v>
      </c>
      <c r="J33" s="164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</row>
    <row r="34" spans="1:54" x14ac:dyDescent="0.25">
      <c r="C34" s="158" t="s">
        <v>70</v>
      </c>
      <c r="D34" s="158"/>
      <c r="E34" s="158"/>
      <c r="F34" s="158"/>
      <c r="G34" s="158"/>
      <c r="H34" s="158"/>
      <c r="I34" s="159" t="s">
        <v>69</v>
      </c>
      <c r="J34" s="159"/>
      <c r="K34" s="166" t="s">
        <v>74</v>
      </c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1" t="s">
        <v>85</v>
      </c>
      <c r="AC34" s="162"/>
    </row>
    <row r="35" spans="1:54" x14ac:dyDescent="0.25">
      <c r="B35" s="5" t="s">
        <v>75</v>
      </c>
      <c r="C35" s="155" t="s">
        <v>77</v>
      </c>
      <c r="D35" s="155"/>
      <c r="E35" s="155"/>
      <c r="F35" s="155"/>
      <c r="G35" s="155"/>
      <c r="H35" s="155"/>
      <c r="I35" s="160" t="s">
        <v>82</v>
      </c>
      <c r="J35" s="160"/>
      <c r="K35" s="155" t="str">
        <f>"dom.GetObject("&amp;C35&amp;").State("&amp;$I35&amp;");"</f>
        <v>dom.GetObject("GrgLounge_HzgTEST_BasisT").State(2);</v>
      </c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65">
        <f>SUMIFS(E42:E50,C42:C50,"&lt;"&amp;I35,D42:D50,"&gt;="&amp;I35)</f>
        <v>0</v>
      </c>
      <c r="AC35" s="165"/>
      <c r="AD35" s="163" t="s">
        <v>87</v>
      </c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</row>
    <row r="36" spans="1:54" x14ac:dyDescent="0.25">
      <c r="B36" s="5" t="s">
        <v>76</v>
      </c>
      <c r="C36" s="155" t="s">
        <v>71</v>
      </c>
      <c r="D36" s="155"/>
      <c r="E36" s="155"/>
      <c r="F36" s="155"/>
      <c r="G36" s="155"/>
      <c r="H36" s="155"/>
      <c r="I36" s="160" t="s">
        <v>90</v>
      </c>
      <c r="J36" s="160"/>
      <c r="K36" s="155" t="str">
        <f>"dom.GetObject("&amp;C36&amp;").State("&amp;$I36&amp;");"</f>
        <v>dom.GetObject("GrgLounge_HzgTEST_TempIndor").State(5);</v>
      </c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7">
        <f>SUMIFS(I42:I50,G42:G50,"&lt;"&amp;I36,H42:H50,"&gt;="&amp;I36)</f>
        <v>4</v>
      </c>
      <c r="AC36" s="157"/>
      <c r="AD36" s="156" t="s">
        <v>86</v>
      </c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</row>
    <row r="37" spans="1:54" x14ac:dyDescent="0.25">
      <c r="B37" s="5" t="s">
        <v>78</v>
      </c>
      <c r="C37" s="155" t="s">
        <v>72</v>
      </c>
      <c r="D37" s="155"/>
      <c r="E37" s="155"/>
      <c r="F37" s="155"/>
      <c r="G37" s="155"/>
      <c r="H37" s="155"/>
      <c r="I37" s="160" t="s">
        <v>79</v>
      </c>
      <c r="J37" s="160"/>
      <c r="K37" s="155" t="str">
        <f>"dom.GetObject("&amp;C37&amp;").State("&amp;$I37&amp;");"</f>
        <v>dom.GetObject("00_TestVariable_ZK").State("Sun");</v>
      </c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</row>
    <row r="38" spans="1:54" x14ac:dyDescent="0.25">
      <c r="C38" s="155" t="s">
        <v>73</v>
      </c>
      <c r="D38" s="155"/>
      <c r="E38" s="155"/>
      <c r="F38" s="155"/>
      <c r="G38" s="155"/>
      <c r="H38" s="155"/>
      <c r="I38" s="160" t="s">
        <v>91</v>
      </c>
      <c r="J38" s="160"/>
      <c r="K38" s="155" t="str">
        <f>"dom.GetObject("&amp;C38&amp;").State("&amp;$I38&amp;");"</f>
        <v>dom.GetObject("00_ValueHour").State("02:27");</v>
      </c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</row>
    <row r="41" spans="1:54" x14ac:dyDescent="0.25">
      <c r="C41" s="135" t="s">
        <v>83</v>
      </c>
      <c r="D41" s="129" t="s">
        <v>84</v>
      </c>
      <c r="E41" s="140" t="s">
        <v>60</v>
      </c>
      <c r="G41" s="135" t="s">
        <v>83</v>
      </c>
      <c r="H41" s="129" t="s">
        <v>84</v>
      </c>
      <c r="I41" s="128" t="s">
        <v>66</v>
      </c>
      <c r="J41" s="136"/>
      <c r="K41" s="6"/>
      <c r="L41" s="137"/>
    </row>
    <row r="42" spans="1:54" s="124" customFormat="1" x14ac:dyDescent="0.25">
      <c r="A42" s="123"/>
      <c r="B42" s="123"/>
      <c r="C42" s="141">
        <v>15.1</v>
      </c>
      <c r="D42" s="142">
        <v>40</v>
      </c>
      <c r="E42" s="143">
        <v>15</v>
      </c>
      <c r="F42" s="123"/>
      <c r="G42" s="134">
        <v>0.1</v>
      </c>
      <c r="H42" s="126">
        <v>2</v>
      </c>
      <c r="I42" s="132">
        <v>0</v>
      </c>
      <c r="J42" s="126"/>
      <c r="K42" s="138"/>
      <c r="L42" s="131"/>
      <c r="AV42" s="125"/>
      <c r="AW42" s="125"/>
      <c r="BA42" s="123"/>
      <c r="BB42" s="121"/>
    </row>
    <row r="43" spans="1:54" s="124" customFormat="1" x14ac:dyDescent="0.25">
      <c r="A43" s="123"/>
      <c r="B43" s="123"/>
      <c r="C43" s="141">
        <f>E43+0.1</f>
        <v>14.1</v>
      </c>
      <c r="D43" s="142">
        <f>E42</f>
        <v>15</v>
      </c>
      <c r="E43" s="143">
        <v>14</v>
      </c>
      <c r="F43" s="123"/>
      <c r="G43" s="134">
        <v>2.1</v>
      </c>
      <c r="H43" s="126">
        <v>4</v>
      </c>
      <c r="I43" s="132">
        <v>2</v>
      </c>
      <c r="J43" s="126"/>
      <c r="K43" s="138"/>
      <c r="L43" s="131"/>
      <c r="AV43" s="125"/>
      <c r="AW43" s="125"/>
      <c r="BA43" s="123"/>
      <c r="BB43" s="121"/>
    </row>
    <row r="44" spans="1:54" s="124" customFormat="1" x14ac:dyDescent="0.25">
      <c r="A44" s="123"/>
      <c r="B44" s="123"/>
      <c r="C44" s="141">
        <f t="shared" ref="C44:C50" si="43">E44+0.1</f>
        <v>12.1</v>
      </c>
      <c r="D44" s="142">
        <f t="shared" ref="D44:D50" si="44">E43</f>
        <v>14</v>
      </c>
      <c r="E44" s="143">
        <v>12</v>
      </c>
      <c r="F44" s="123"/>
      <c r="G44" s="134">
        <v>4.0999999999999996</v>
      </c>
      <c r="H44" s="126">
        <v>6</v>
      </c>
      <c r="I44" s="132">
        <v>4</v>
      </c>
      <c r="J44" s="126"/>
      <c r="K44" s="138"/>
      <c r="L44" s="131"/>
      <c r="AV44" s="125"/>
      <c r="AW44" s="125"/>
      <c r="BA44" s="123"/>
      <c r="BB44" s="121"/>
    </row>
    <row r="45" spans="1:54" s="124" customFormat="1" x14ac:dyDescent="0.25">
      <c r="A45" s="123"/>
      <c r="B45" s="123"/>
      <c r="C45" s="141">
        <f t="shared" si="43"/>
        <v>10.1</v>
      </c>
      <c r="D45" s="142">
        <f t="shared" si="44"/>
        <v>12</v>
      </c>
      <c r="E45" s="143">
        <v>10</v>
      </c>
      <c r="F45" s="123"/>
      <c r="G45" s="134">
        <v>6.1</v>
      </c>
      <c r="H45" s="126">
        <v>8</v>
      </c>
      <c r="I45" s="132">
        <v>6</v>
      </c>
      <c r="J45" s="126"/>
      <c r="K45" s="138"/>
      <c r="L45" s="131"/>
      <c r="AV45" s="125"/>
      <c r="AW45" s="125"/>
      <c r="BA45" s="123"/>
      <c r="BB45" s="121"/>
    </row>
    <row r="46" spans="1:54" s="124" customFormat="1" x14ac:dyDescent="0.25">
      <c r="A46" s="123"/>
      <c r="B46" s="123"/>
      <c r="C46" s="141">
        <f t="shared" si="43"/>
        <v>8.1</v>
      </c>
      <c r="D46" s="142">
        <f t="shared" si="44"/>
        <v>10</v>
      </c>
      <c r="E46" s="143">
        <v>8</v>
      </c>
      <c r="F46" s="123"/>
      <c r="G46" s="134">
        <v>8.1</v>
      </c>
      <c r="H46" s="126">
        <v>10</v>
      </c>
      <c r="I46" s="132">
        <v>8</v>
      </c>
      <c r="J46" s="126"/>
      <c r="K46" s="138"/>
      <c r="L46" s="131"/>
      <c r="AV46" s="125"/>
      <c r="AW46" s="125"/>
      <c r="BA46" s="123"/>
      <c r="BB46" s="121"/>
    </row>
    <row r="47" spans="1:54" s="124" customFormat="1" x14ac:dyDescent="0.25">
      <c r="A47" s="123"/>
      <c r="B47" s="123"/>
      <c r="C47" s="141">
        <f t="shared" si="43"/>
        <v>6.1</v>
      </c>
      <c r="D47" s="142">
        <f t="shared" si="44"/>
        <v>8</v>
      </c>
      <c r="E47" s="143">
        <v>6</v>
      </c>
      <c r="F47" s="123"/>
      <c r="G47" s="134">
        <v>10.1</v>
      </c>
      <c r="H47" s="126">
        <v>12</v>
      </c>
      <c r="I47" s="132">
        <v>10</v>
      </c>
      <c r="J47" s="126"/>
      <c r="K47" s="138"/>
      <c r="L47" s="131"/>
      <c r="AV47" s="125"/>
      <c r="AW47" s="125"/>
      <c r="BA47" s="123"/>
      <c r="BB47" s="121"/>
    </row>
    <row r="48" spans="1:54" s="124" customFormat="1" x14ac:dyDescent="0.25">
      <c r="A48" s="123"/>
      <c r="B48" s="123"/>
      <c r="C48" s="141">
        <f t="shared" si="43"/>
        <v>4.0999999999999996</v>
      </c>
      <c r="D48" s="142">
        <f t="shared" si="44"/>
        <v>6</v>
      </c>
      <c r="E48" s="143">
        <v>4</v>
      </c>
      <c r="F48" s="123"/>
      <c r="G48" s="134">
        <v>12.1</v>
      </c>
      <c r="H48" s="126">
        <v>14</v>
      </c>
      <c r="I48" s="132">
        <v>12</v>
      </c>
      <c r="J48" s="126"/>
      <c r="K48" s="138"/>
      <c r="L48" s="131"/>
      <c r="AV48" s="125"/>
      <c r="AW48" s="125"/>
      <c r="BA48" s="123"/>
      <c r="BB48" s="121"/>
    </row>
    <row r="49" spans="1:54" s="124" customFormat="1" x14ac:dyDescent="0.25">
      <c r="A49" s="123"/>
      <c r="B49" s="123"/>
      <c r="C49" s="141">
        <f t="shared" si="43"/>
        <v>2.1</v>
      </c>
      <c r="D49" s="142">
        <f t="shared" si="44"/>
        <v>4</v>
      </c>
      <c r="E49" s="143">
        <v>2</v>
      </c>
      <c r="F49" s="123"/>
      <c r="G49" s="134">
        <v>14.1</v>
      </c>
      <c r="H49" s="126">
        <v>16</v>
      </c>
      <c r="I49" s="132">
        <v>14</v>
      </c>
      <c r="J49" s="126"/>
      <c r="K49" s="138"/>
      <c r="L49" s="131"/>
      <c r="AV49" s="125"/>
      <c r="AW49" s="125"/>
      <c r="BA49" s="123"/>
      <c r="BB49" s="121"/>
    </row>
    <row r="50" spans="1:54" s="124" customFormat="1" x14ac:dyDescent="0.25">
      <c r="A50" s="123"/>
      <c r="B50" s="123"/>
      <c r="C50" s="141">
        <f t="shared" si="43"/>
        <v>0.1</v>
      </c>
      <c r="D50" s="144">
        <f t="shared" si="44"/>
        <v>2</v>
      </c>
      <c r="E50" s="145">
        <v>0</v>
      </c>
      <c r="F50" s="123"/>
      <c r="G50" s="130">
        <v>16.100000000000001</v>
      </c>
      <c r="H50" s="127">
        <v>40</v>
      </c>
      <c r="I50" s="133">
        <v>16</v>
      </c>
      <c r="J50" s="126"/>
      <c r="K50" s="138"/>
      <c r="L50" s="131"/>
      <c r="AV50" s="125"/>
      <c r="AW50" s="125"/>
      <c r="BA50" s="123"/>
      <c r="BB50" s="121"/>
    </row>
    <row r="51" spans="1:54" x14ac:dyDescent="0.25">
      <c r="B51" s="123"/>
      <c r="C51" s="123"/>
      <c r="D51" s="123"/>
      <c r="E51" s="123"/>
      <c r="M51" s="124"/>
    </row>
  </sheetData>
  <mergeCells count="45">
    <mergeCell ref="AB34:AC34"/>
    <mergeCell ref="AD35:AP35"/>
    <mergeCell ref="I33:J33"/>
    <mergeCell ref="AB35:AC35"/>
    <mergeCell ref="K34:AA34"/>
    <mergeCell ref="K38:AA38"/>
    <mergeCell ref="AD36:AP36"/>
    <mergeCell ref="AB36:AC36"/>
    <mergeCell ref="C34:H34"/>
    <mergeCell ref="C36:H36"/>
    <mergeCell ref="C37:H37"/>
    <mergeCell ref="C38:H38"/>
    <mergeCell ref="I34:J34"/>
    <mergeCell ref="I36:J36"/>
    <mergeCell ref="I37:J37"/>
    <mergeCell ref="I38:J38"/>
    <mergeCell ref="C35:H35"/>
    <mergeCell ref="I35:J35"/>
    <mergeCell ref="K35:AA35"/>
    <mergeCell ref="K36:AA36"/>
    <mergeCell ref="K37:AA37"/>
    <mergeCell ref="AQ7:AS7"/>
    <mergeCell ref="AE7:AG7"/>
    <mergeCell ref="AH7:AJ7"/>
    <mergeCell ref="AB7:AD7"/>
    <mergeCell ref="AA9:AB9"/>
    <mergeCell ref="V7:X7"/>
    <mergeCell ref="Y7:AA7"/>
    <mergeCell ref="A7:B7"/>
    <mergeCell ref="A5:B5"/>
    <mergeCell ref="AN7:AP7"/>
    <mergeCell ref="AK7:AM7"/>
    <mergeCell ref="D7:F7"/>
    <mergeCell ref="G7:I7"/>
    <mergeCell ref="J7:L7"/>
    <mergeCell ref="M7:O7"/>
    <mergeCell ref="P7:R7"/>
    <mergeCell ref="S7:U7"/>
    <mergeCell ref="AD4:AF4"/>
    <mergeCell ref="AL4:AN4"/>
    <mergeCell ref="AR4:AT4"/>
    <mergeCell ref="E1:Y1"/>
    <mergeCell ref="E2:Y2"/>
    <mergeCell ref="E3:Y3"/>
    <mergeCell ref="E4:Y4"/>
  </mergeCells>
  <phoneticPr fontId="3" type="noConversion"/>
  <conditionalFormatting sqref="D21:X29 Z21:AR29 AS21:AS31">
    <cfRule type="expression" dxfId="4" priority="6">
      <formula>IF(AS$10=$AT$10,1,0)</formula>
    </cfRule>
  </conditionalFormatting>
  <conditionalFormatting sqref="D8:AS8">
    <cfRule type="expression" dxfId="3" priority="2">
      <formula>IF(D8&gt;$C$7,1,0)</formula>
    </cfRule>
  </conditionalFormatting>
  <conditionalFormatting sqref="Y21:Y29">
    <cfRule type="expression" dxfId="2" priority="9">
      <formula>IF(BN$9=$AT$10,1,0)</formula>
    </cfRule>
  </conditionalFormatting>
  <conditionalFormatting sqref="BD9:BL9">
    <cfRule type="expression" dxfId="1" priority="1">
      <formula>IF($AA$9=BD8,1,0)</formula>
    </cfRule>
  </conditionalFormatting>
  <dataValidations count="1">
    <dataValidation type="list" allowBlank="1" showInputMessage="1" showErrorMessage="1" sqref="AA9" xr:uid="{42AE05D7-EEC7-49A0-9ED6-AF1B2CBB0205}">
      <formula1>"0,2,4,6,8,10,12,14,16"</formula1>
    </dataValidation>
  </dataValidations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122845-91A1-4667-82CB-807DEABB2A9B}">
          <x14:formula1>
            <xm:f>DropDowns!A$2:A$12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238C-C701-4C56-BA88-011CB62CEF9C}">
  <dimension ref="A1:M478"/>
  <sheetViews>
    <sheetView workbookViewId="0">
      <pane ySplit="1" topLeftCell="A2" activePane="bottomLeft" state="frozen"/>
      <selection pane="bottomLeft" activeCell="L45" sqref="L45"/>
    </sheetView>
  </sheetViews>
  <sheetFormatPr baseColWidth="10" defaultColWidth="10.42578125" defaultRowHeight="15" x14ac:dyDescent="0.25"/>
  <cols>
    <col min="1" max="1" width="10.140625" style="30" customWidth="1"/>
    <col min="2" max="2" width="12.140625" style="30" customWidth="1"/>
    <col min="3" max="3" width="22" style="41" bestFit="1" customWidth="1"/>
    <col min="4" max="4" width="8" style="41" bestFit="1" customWidth="1"/>
    <col min="5" max="5" width="25.42578125" style="30" customWidth="1"/>
    <col min="6" max="6" width="10.7109375" style="31" customWidth="1"/>
    <col min="7" max="7" width="11.28515625" style="31" customWidth="1"/>
    <col min="8" max="8" width="12.140625" style="31" bestFit="1" customWidth="1"/>
    <col min="9" max="9" width="13.28515625" style="31" bestFit="1" customWidth="1"/>
    <col min="12" max="12" width="41.7109375" customWidth="1"/>
    <col min="13" max="13" width="34.42578125" customWidth="1"/>
  </cols>
  <sheetData>
    <row r="1" spans="1:13" x14ac:dyDescent="0.25">
      <c r="A1" s="25" t="s">
        <v>10</v>
      </c>
      <c r="B1" s="25" t="s">
        <v>11</v>
      </c>
      <c r="C1" s="35" t="s">
        <v>12</v>
      </c>
      <c r="D1" s="36" t="s">
        <v>13</v>
      </c>
      <c r="E1" s="25" t="s">
        <v>12</v>
      </c>
      <c r="F1" s="31" t="s">
        <v>13</v>
      </c>
      <c r="G1" s="31" t="s">
        <v>14</v>
      </c>
      <c r="H1" s="31" t="s">
        <v>15</v>
      </c>
      <c r="I1" s="31" t="s">
        <v>16</v>
      </c>
      <c r="L1" s="24"/>
    </row>
    <row r="2" spans="1:13" x14ac:dyDescent="0.25">
      <c r="A2" s="26">
        <v>0.49444444444444446</v>
      </c>
      <c r="B2" s="27">
        <v>46040</v>
      </c>
      <c r="C2" s="37" t="s">
        <v>7</v>
      </c>
      <c r="D2" s="38" t="s">
        <v>8</v>
      </c>
      <c r="E2" s="43" t="str">
        <f>IF(A2="","-",VLOOKUP(C2,$L$3:$O$8,2,FALSE))</f>
        <v>GrgLounge_HzgTEST_AN</v>
      </c>
      <c r="F2" s="31" t="str">
        <f>IF(A2="","-",IF(OR(C2=$L$10,C2=$L$11,C2=$L$12),MID(SUBSTITUTE(D2,".",","),1,FIND("(",SUBSTITUTE(D2,".",","))-1)*1,D2))</f>
        <v>AUS</v>
      </c>
      <c r="G2" s="32" t="e">
        <f>IF(A2="","-",A2-A1)</f>
        <v>#VALUE!</v>
      </c>
      <c r="H2" s="32" cm="1">
        <f t="array" ref="H2">IF(A2="","-",A2-_xlfn.XLOOKUP($L$3,$E1:E$2,$A1:A$2,,FALSE,-1))</f>
        <v>0</v>
      </c>
      <c r="I2" s="32">
        <f>IF(A2="","-",A2-0.00173611111111116)</f>
        <v>0.4927083333333333</v>
      </c>
      <c r="L2" s="24"/>
    </row>
    <row r="3" spans="1:13" x14ac:dyDescent="0.25">
      <c r="A3" s="26">
        <v>0.51180555555555551</v>
      </c>
      <c r="B3" s="27">
        <v>46040</v>
      </c>
      <c r="C3" s="37" t="s">
        <v>7</v>
      </c>
      <c r="D3" s="38" t="s">
        <v>8</v>
      </c>
      <c r="E3" s="43" t="str">
        <f t="shared" ref="E3:E66" si="0">IF(A3="","-",VLOOKUP(C3,$L$3:$O$8,2,FALSE))</f>
        <v>GrgLounge_HzgTEST_AN</v>
      </c>
      <c r="F3" s="31" t="str">
        <f t="shared" ref="F3:F66" si="1">IF(A3="","-",IF(OR(C3=$L$10,C3=$L$11,C3=$L$12),MID(SUBSTITUTE(D3,".",","),1,FIND("(",SUBSTITUTE(D3,".",","))-1)*1,D3))</f>
        <v>AUS</v>
      </c>
      <c r="G3" s="32">
        <f t="shared" ref="G3:G66" si="2">IF(A3="","-",A3-A2)</f>
        <v>1.7361111111111049E-2</v>
      </c>
      <c r="H3" s="32" cm="1">
        <f t="array" ref="H3">IF(A3="","-",A3-_xlfn.XLOOKUP($L$3,$E2:E$2,$A2:A$2,,FALSE,-1))</f>
        <v>1.7361111111111049E-2</v>
      </c>
      <c r="I3" s="32">
        <f t="shared" ref="I3:I66" si="3">IF(A3="","-",A3-0.00173611111111116)</f>
        <v>0.51006944444444435</v>
      </c>
      <c r="L3" s="24" t="s">
        <v>7</v>
      </c>
      <c r="M3" s="24" t="s">
        <v>7</v>
      </c>
    </row>
    <row r="4" spans="1:13" x14ac:dyDescent="0.25">
      <c r="A4" s="26">
        <v>0.52569444444444446</v>
      </c>
      <c r="B4" s="27">
        <v>46040</v>
      </c>
      <c r="C4" s="37" t="s">
        <v>7</v>
      </c>
      <c r="D4" s="38" t="s">
        <v>8</v>
      </c>
      <c r="E4" s="43" t="str">
        <f t="shared" si="0"/>
        <v>GrgLounge_HzgTEST_AN</v>
      </c>
      <c r="F4" s="31" t="str">
        <f t="shared" si="1"/>
        <v>AUS</v>
      </c>
      <c r="G4" s="32">
        <f t="shared" si="2"/>
        <v>1.3888888888888951E-2</v>
      </c>
      <c r="H4" s="32" cm="1">
        <f t="array" ref="H4">IF(A4="","-",A4-_xlfn.XLOOKUP($L$3,$E$2:E3,$A$2:A3,,FALSE,-1))</f>
        <v>1.3888888888888951E-2</v>
      </c>
      <c r="I4" s="32">
        <f t="shared" si="3"/>
        <v>0.5239583333333333</v>
      </c>
    </row>
    <row r="5" spans="1:13" x14ac:dyDescent="0.25">
      <c r="A5" s="26">
        <v>0.5395833333333333</v>
      </c>
      <c r="B5" s="27">
        <v>46040</v>
      </c>
      <c r="C5" s="37" t="s">
        <v>7</v>
      </c>
      <c r="D5" s="38" t="s">
        <v>8</v>
      </c>
      <c r="E5" s="43" t="str">
        <f t="shared" si="0"/>
        <v>GrgLounge_HzgTEST_AN</v>
      </c>
      <c r="F5" s="31" t="str">
        <f t="shared" si="1"/>
        <v>AUS</v>
      </c>
      <c r="G5" s="32">
        <f t="shared" si="2"/>
        <v>1.388888888888884E-2</v>
      </c>
      <c r="H5" s="32" cm="1">
        <f t="array" ref="H5">IF(A5="","-",A5-_xlfn.XLOOKUP($L$3,$E$2:E4,$A$2:A4,,FALSE,-1))</f>
        <v>1.388888888888884E-2</v>
      </c>
      <c r="I5" s="32">
        <f t="shared" si="3"/>
        <v>0.53784722222222214</v>
      </c>
    </row>
    <row r="6" spans="1:13" x14ac:dyDescent="0.25">
      <c r="A6" s="26">
        <v>0.55347222222222225</v>
      </c>
      <c r="B6" s="27">
        <v>46040</v>
      </c>
      <c r="C6" s="37" t="s">
        <v>7</v>
      </c>
      <c r="D6" s="38" t="s">
        <v>8</v>
      </c>
      <c r="E6" s="43" t="str">
        <f t="shared" si="0"/>
        <v>GrgLounge_HzgTEST_AN</v>
      </c>
      <c r="F6" s="31" t="str">
        <f t="shared" si="1"/>
        <v>AUS</v>
      </c>
      <c r="G6" s="32">
        <f t="shared" si="2"/>
        <v>1.3888888888888951E-2</v>
      </c>
      <c r="H6" s="32" cm="1">
        <f t="array" ref="H6">IF(A6="","-",A6-_xlfn.XLOOKUP($L$3,$E$2:E5,$A$2:A5,,FALSE,-1))</f>
        <v>1.3888888888888951E-2</v>
      </c>
      <c r="I6" s="32">
        <f t="shared" si="3"/>
        <v>0.55173611111111109</v>
      </c>
    </row>
    <row r="7" spans="1:13" x14ac:dyDescent="0.25">
      <c r="A7" s="26">
        <v>0.56736111111111109</v>
      </c>
      <c r="B7" s="27">
        <v>46040</v>
      </c>
      <c r="C7" s="37" t="s">
        <v>7</v>
      </c>
      <c r="D7" s="38" t="s">
        <v>8</v>
      </c>
      <c r="E7" s="43" t="str">
        <f t="shared" si="0"/>
        <v>GrgLounge_HzgTEST_AN</v>
      </c>
      <c r="F7" s="31" t="str">
        <f t="shared" si="1"/>
        <v>AUS</v>
      </c>
      <c r="G7" s="32">
        <f t="shared" si="2"/>
        <v>1.388888888888884E-2</v>
      </c>
      <c r="H7" s="32" cm="1">
        <f t="array" ref="H7">IF(A7="","-",A7-_xlfn.XLOOKUP($L$3,$E$2:E6,$A$2:A6,,FALSE,-1))</f>
        <v>1.388888888888884E-2</v>
      </c>
      <c r="I7" s="32">
        <f t="shared" si="3"/>
        <v>0.56562499999999993</v>
      </c>
    </row>
    <row r="8" spans="1:13" x14ac:dyDescent="0.25">
      <c r="A8" s="26">
        <v>0.58124999999999993</v>
      </c>
      <c r="B8" s="27">
        <v>46040</v>
      </c>
      <c r="C8" s="37" t="s">
        <v>7</v>
      </c>
      <c r="D8" s="38" t="s">
        <v>8</v>
      </c>
      <c r="E8" s="43" t="str">
        <f t="shared" si="0"/>
        <v>GrgLounge_HzgTEST_AN</v>
      </c>
      <c r="F8" s="31" t="str">
        <f t="shared" si="1"/>
        <v>AUS</v>
      </c>
      <c r="G8" s="32">
        <f t="shared" si="2"/>
        <v>1.388888888888884E-2</v>
      </c>
      <c r="H8" s="32" cm="1">
        <f t="array" ref="H8">IF(A8="","-",A8-_xlfn.XLOOKUP($L$3,$E$2:E7,$A$2:A7,,FALSE,-1))</f>
        <v>1.388888888888884E-2</v>
      </c>
      <c r="I8" s="32">
        <f t="shared" si="3"/>
        <v>0.57951388888888877</v>
      </c>
    </row>
    <row r="9" spans="1:13" x14ac:dyDescent="0.25">
      <c r="A9" s="26">
        <v>0.59513888888888888</v>
      </c>
      <c r="B9" s="27">
        <v>46040</v>
      </c>
      <c r="C9" s="37" t="s">
        <v>7</v>
      </c>
      <c r="D9" s="38" t="s">
        <v>8</v>
      </c>
      <c r="E9" s="43" t="str">
        <f t="shared" si="0"/>
        <v>GrgLounge_HzgTEST_AN</v>
      </c>
      <c r="F9" s="31" t="str">
        <f t="shared" si="1"/>
        <v>AUS</v>
      </c>
      <c r="G9" s="32">
        <f t="shared" si="2"/>
        <v>1.3888888888888951E-2</v>
      </c>
      <c r="H9" s="32" cm="1">
        <f t="array" ref="H9">IF(A9="","-",A9-_xlfn.XLOOKUP($L$3,$E$2:E8,$A$2:A8,,FALSE,-1))</f>
        <v>1.3888888888888951E-2</v>
      </c>
      <c r="I9" s="32">
        <f t="shared" si="3"/>
        <v>0.59340277777777772</v>
      </c>
      <c r="L9" t="s">
        <v>17</v>
      </c>
    </row>
    <row r="10" spans="1:13" x14ac:dyDescent="0.25">
      <c r="A10" s="26">
        <v>0.60902777777777783</v>
      </c>
      <c r="B10" s="27">
        <v>46040</v>
      </c>
      <c r="C10" s="37" t="s">
        <v>7</v>
      </c>
      <c r="D10" s="38" t="s">
        <v>8</v>
      </c>
      <c r="E10" s="43" t="str">
        <f t="shared" si="0"/>
        <v>GrgLounge_HzgTEST_AN</v>
      </c>
      <c r="F10" s="31" t="str">
        <f t="shared" si="1"/>
        <v>AUS</v>
      </c>
      <c r="G10" s="32">
        <f t="shared" si="2"/>
        <v>1.3888888888888951E-2</v>
      </c>
      <c r="H10" s="32" cm="1">
        <f t="array" ref="H10">IF(A10="","-",A10-_xlfn.XLOOKUP($L$3,$E$2:E9,$A$2:A9,,FALSE,-1))</f>
        <v>1.3888888888888951E-2</v>
      </c>
      <c r="I10" s="32">
        <f t="shared" si="3"/>
        <v>0.60729166666666667</v>
      </c>
      <c r="L10" s="46"/>
    </row>
    <row r="11" spans="1:13" x14ac:dyDescent="0.25">
      <c r="A11" s="26">
        <v>0.62291666666666667</v>
      </c>
      <c r="B11" s="27">
        <v>46040</v>
      </c>
      <c r="C11" s="37" t="s">
        <v>7</v>
      </c>
      <c r="D11" s="38" t="s">
        <v>8</v>
      </c>
      <c r="E11" s="43" t="str">
        <f t="shared" si="0"/>
        <v>GrgLounge_HzgTEST_AN</v>
      </c>
      <c r="F11" s="31" t="str">
        <f t="shared" si="1"/>
        <v>AUS</v>
      </c>
      <c r="G11" s="32">
        <f t="shared" si="2"/>
        <v>1.388888888888884E-2</v>
      </c>
      <c r="H11" s="32" cm="1">
        <f t="array" ref="H11">IF(A11="","-",A11-_xlfn.XLOOKUP($L$3,$E$2:E10,$A$2:A10,,FALSE,-1))</f>
        <v>1.388888888888884E-2</v>
      </c>
      <c r="I11" s="32">
        <f t="shared" si="3"/>
        <v>0.62118055555555551</v>
      </c>
      <c r="L11" s="46"/>
    </row>
    <row r="12" spans="1:13" x14ac:dyDescent="0.25">
      <c r="A12" s="26">
        <v>0.63680555555555551</v>
      </c>
      <c r="B12" s="27">
        <v>46040</v>
      </c>
      <c r="C12" s="37" t="s">
        <v>7</v>
      </c>
      <c r="D12" s="38" t="s">
        <v>8</v>
      </c>
      <c r="E12" s="43" t="str">
        <f t="shared" si="0"/>
        <v>GrgLounge_HzgTEST_AN</v>
      </c>
      <c r="F12" s="31" t="str">
        <f t="shared" si="1"/>
        <v>AUS</v>
      </c>
      <c r="G12" s="32">
        <f t="shared" si="2"/>
        <v>1.388888888888884E-2</v>
      </c>
      <c r="H12" s="32" cm="1">
        <f t="array" ref="H12">IF(A12="","-",A12-_xlfn.XLOOKUP($L$3,$E$2:E11,$A$2:A11,,FALSE,-1))</f>
        <v>1.388888888888884E-2</v>
      </c>
      <c r="I12" s="32">
        <f t="shared" si="3"/>
        <v>0.63506944444444435</v>
      </c>
      <c r="L12" s="46"/>
    </row>
    <row r="13" spans="1:13" x14ac:dyDescent="0.25">
      <c r="A13" s="26">
        <v>0.65069444444444446</v>
      </c>
      <c r="B13" s="27">
        <v>46040</v>
      </c>
      <c r="C13" s="37" t="s">
        <v>7</v>
      </c>
      <c r="D13" s="38" t="s">
        <v>8</v>
      </c>
      <c r="E13" s="43" t="str">
        <f t="shared" si="0"/>
        <v>GrgLounge_HzgTEST_AN</v>
      </c>
      <c r="F13" s="31" t="str">
        <f t="shared" si="1"/>
        <v>AUS</v>
      </c>
      <c r="G13" s="32">
        <f t="shared" si="2"/>
        <v>1.3888888888888951E-2</v>
      </c>
      <c r="H13" s="32" cm="1">
        <f t="array" ref="H13">IF(A13="","-",A13-_xlfn.XLOOKUP($L$3,$E$2:E12,$A$2:A12,,FALSE,-1))</f>
        <v>1.3888888888888951E-2</v>
      </c>
      <c r="I13" s="32">
        <f t="shared" si="3"/>
        <v>0.6489583333333333</v>
      </c>
    </row>
    <row r="14" spans="1:13" x14ac:dyDescent="0.25">
      <c r="A14" s="26">
        <v>0.6645833333333333</v>
      </c>
      <c r="B14" s="27">
        <v>46040</v>
      </c>
      <c r="C14" s="37" t="s">
        <v>7</v>
      </c>
      <c r="D14" s="38" t="s">
        <v>8</v>
      </c>
      <c r="E14" s="43" t="str">
        <f t="shared" si="0"/>
        <v>GrgLounge_HzgTEST_AN</v>
      </c>
      <c r="F14" s="31" t="str">
        <f t="shared" si="1"/>
        <v>AUS</v>
      </c>
      <c r="G14" s="32">
        <f t="shared" si="2"/>
        <v>1.388888888888884E-2</v>
      </c>
      <c r="H14" s="32" cm="1">
        <f t="array" ref="H14">IF(A14="","-",A14-_xlfn.XLOOKUP($L$3,$E$2:E13,$A$2:A13,,FALSE,-1))</f>
        <v>1.388888888888884E-2</v>
      </c>
      <c r="I14" s="32">
        <f t="shared" si="3"/>
        <v>0.66284722222222214</v>
      </c>
    </row>
    <row r="15" spans="1:13" x14ac:dyDescent="0.25">
      <c r="A15" s="26">
        <v>0.67847222222222225</v>
      </c>
      <c r="B15" s="27">
        <v>46040</v>
      </c>
      <c r="C15" s="37" t="s">
        <v>7</v>
      </c>
      <c r="D15" s="38" t="s">
        <v>8</v>
      </c>
      <c r="E15" s="43" t="str">
        <f t="shared" si="0"/>
        <v>GrgLounge_HzgTEST_AN</v>
      </c>
      <c r="F15" s="31" t="str">
        <f t="shared" si="1"/>
        <v>AUS</v>
      </c>
      <c r="G15" s="32">
        <f t="shared" si="2"/>
        <v>1.3888888888888951E-2</v>
      </c>
      <c r="H15" s="32" cm="1">
        <f t="array" ref="H15">IF(A15="","-",A15-_xlfn.XLOOKUP($L$3,$E$2:E14,$A$2:A14,,FALSE,-1))</f>
        <v>1.3888888888888951E-2</v>
      </c>
      <c r="I15" s="32">
        <f t="shared" si="3"/>
        <v>0.67673611111111109</v>
      </c>
    </row>
    <row r="16" spans="1:13" x14ac:dyDescent="0.25">
      <c r="A16" s="26">
        <v>0.68547453703703709</v>
      </c>
      <c r="B16" s="27">
        <v>46040</v>
      </c>
      <c r="C16" s="37" t="s">
        <v>7</v>
      </c>
      <c r="D16" s="38" t="s">
        <v>9</v>
      </c>
      <c r="E16" s="43" t="str">
        <f t="shared" si="0"/>
        <v>GrgLounge_HzgTEST_AN</v>
      </c>
      <c r="F16" s="31" t="str">
        <f t="shared" si="1"/>
        <v>AN</v>
      </c>
      <c r="G16" s="32">
        <f>IF(A16="","-",A16-A15)</f>
        <v>7.0023148148148362E-3</v>
      </c>
      <c r="H16" s="32" cm="1">
        <f t="array" ref="H16">IF(A16="","-",A16-_xlfn.XLOOKUP($L$3,$E$2:E15,$A$2:A15,,FALSE,-1))</f>
        <v>7.0023148148148362E-3</v>
      </c>
      <c r="I16" s="32">
        <f t="shared" si="3"/>
        <v>0.68373842592592593</v>
      </c>
    </row>
    <row r="17" spans="1:13" x14ac:dyDescent="0.25">
      <c r="A17" s="28">
        <v>0.69236111111111109</v>
      </c>
      <c r="B17" s="29">
        <v>46040</v>
      </c>
      <c r="C17" s="39" t="s">
        <v>7</v>
      </c>
      <c r="D17" s="40" t="s">
        <v>8</v>
      </c>
      <c r="E17" s="44" t="str">
        <f t="shared" si="0"/>
        <v>GrgLounge_HzgTEST_AN</v>
      </c>
      <c r="F17" s="45" t="str">
        <f t="shared" si="1"/>
        <v>AUS</v>
      </c>
      <c r="G17" s="34">
        <f t="shared" si="2"/>
        <v>6.8865740740740033E-3</v>
      </c>
      <c r="H17" s="34" cm="1">
        <f t="array" ref="H17">IF(A17="","-",A17-_xlfn.XLOOKUP($L$3,$E$2:E16,$A$2:A16,,FALSE,-1))</f>
        <v>6.8865740740740033E-3</v>
      </c>
      <c r="I17" s="34">
        <f t="shared" si="3"/>
        <v>0.69062499999999993</v>
      </c>
    </row>
    <row r="18" spans="1:13" x14ac:dyDescent="0.25">
      <c r="A18" s="26">
        <v>0.24791666666666667</v>
      </c>
      <c r="B18" s="27">
        <v>46041</v>
      </c>
      <c r="C18" s="37" t="s">
        <v>7</v>
      </c>
      <c r="D18" s="38" t="s">
        <v>8</v>
      </c>
      <c r="E18" s="43" t="str">
        <f t="shared" si="0"/>
        <v>GrgLounge_HzgTEST_AN</v>
      </c>
      <c r="F18" s="31" t="str">
        <f t="shared" si="1"/>
        <v>AUS</v>
      </c>
      <c r="G18" s="32">
        <f t="shared" si="2"/>
        <v>-0.44444444444444442</v>
      </c>
      <c r="H18" s="32" cm="1">
        <f t="array" ref="H18">IF(A18="","-",A18-_xlfn.XLOOKUP($L$3,$E$2:E17,$A$2:A17,,FALSE,-1))</f>
        <v>-0.44444444444444442</v>
      </c>
      <c r="I18" s="32">
        <f t="shared" si="3"/>
        <v>0.24618055555555551</v>
      </c>
    </row>
    <row r="19" spans="1:13" x14ac:dyDescent="0.25">
      <c r="A19" s="26">
        <v>0.26180555555555557</v>
      </c>
      <c r="B19" s="27">
        <v>46041</v>
      </c>
      <c r="C19" s="37" t="s">
        <v>7</v>
      </c>
      <c r="D19" s="38" t="s">
        <v>8</v>
      </c>
      <c r="E19" s="43" t="str">
        <f t="shared" si="0"/>
        <v>GrgLounge_HzgTEST_AN</v>
      </c>
      <c r="F19" s="31" t="str">
        <f t="shared" si="1"/>
        <v>AUS</v>
      </c>
      <c r="G19" s="32">
        <f t="shared" si="2"/>
        <v>1.3888888888888895E-2</v>
      </c>
      <c r="H19" s="32" cm="1">
        <f t="array" ref="H19">IF(A19="","-",A19-_xlfn.XLOOKUP($L$3,$E$2:E18,$A$2:A18,,FALSE,-1))</f>
        <v>1.3888888888888895E-2</v>
      </c>
      <c r="I19" s="32">
        <f t="shared" si="3"/>
        <v>0.26006944444444441</v>
      </c>
    </row>
    <row r="20" spans="1:13" x14ac:dyDescent="0.25">
      <c r="A20" s="26">
        <v>0.27569444444444446</v>
      </c>
      <c r="B20" s="27">
        <v>46041</v>
      </c>
      <c r="C20" s="37" t="s">
        <v>7</v>
      </c>
      <c r="D20" s="38" t="s">
        <v>8</v>
      </c>
      <c r="E20" s="43" t="str">
        <f t="shared" si="0"/>
        <v>GrgLounge_HzgTEST_AN</v>
      </c>
      <c r="F20" s="31" t="str">
        <f t="shared" si="1"/>
        <v>AUS</v>
      </c>
      <c r="G20" s="32">
        <f t="shared" si="2"/>
        <v>1.3888888888888895E-2</v>
      </c>
      <c r="H20" s="32" cm="1">
        <f t="array" ref="H20">IF(A20="","-",A20-_xlfn.XLOOKUP($L$3,$E$2:E19,$A$2:A19,,FALSE,-1))</f>
        <v>1.3888888888888895E-2</v>
      </c>
      <c r="I20" s="32">
        <f t="shared" si="3"/>
        <v>0.2739583333333333</v>
      </c>
    </row>
    <row r="21" spans="1:13" x14ac:dyDescent="0.25">
      <c r="A21" s="26">
        <v>0.28958333333333336</v>
      </c>
      <c r="B21" s="27">
        <v>46041</v>
      </c>
      <c r="C21" s="37" t="s">
        <v>7</v>
      </c>
      <c r="D21" s="38" t="s">
        <v>8</v>
      </c>
      <c r="E21" s="43" t="str">
        <f t="shared" si="0"/>
        <v>GrgLounge_HzgTEST_AN</v>
      </c>
      <c r="F21" s="31" t="str">
        <f t="shared" si="1"/>
        <v>AUS</v>
      </c>
      <c r="G21" s="32">
        <f t="shared" si="2"/>
        <v>1.3888888888888895E-2</v>
      </c>
      <c r="H21" s="32" cm="1">
        <f t="array" ref="H21">IF(A21="","-",A21-_xlfn.XLOOKUP($L$3,$E$2:E20,$A$2:A20,,FALSE,-1))</f>
        <v>1.3888888888888895E-2</v>
      </c>
      <c r="I21" s="32">
        <f t="shared" si="3"/>
        <v>0.2878472222222222</v>
      </c>
    </row>
    <row r="22" spans="1:13" x14ac:dyDescent="0.25">
      <c r="A22" s="26">
        <v>0.3034722222222222</v>
      </c>
      <c r="B22" s="27">
        <v>46041</v>
      </c>
      <c r="C22" s="37" t="s">
        <v>7</v>
      </c>
      <c r="D22" s="38" t="s">
        <v>8</v>
      </c>
      <c r="E22" s="43" t="str">
        <f t="shared" si="0"/>
        <v>GrgLounge_HzgTEST_AN</v>
      </c>
      <c r="F22" s="31" t="str">
        <f t="shared" si="1"/>
        <v>AUS</v>
      </c>
      <c r="G22" s="32">
        <f t="shared" si="2"/>
        <v>1.388888888888884E-2</v>
      </c>
      <c r="H22" s="32" cm="1">
        <f t="array" ref="H22">IF(A22="","-",A22-_xlfn.XLOOKUP($L$3,$E$2:E21,$A$2:A21,,FALSE,-1))</f>
        <v>1.388888888888884E-2</v>
      </c>
      <c r="I22" s="32">
        <f t="shared" si="3"/>
        <v>0.30173611111111104</v>
      </c>
    </row>
    <row r="23" spans="1:13" x14ac:dyDescent="0.25">
      <c r="A23" s="26">
        <v>0.31736111111111115</v>
      </c>
      <c r="B23" s="27">
        <v>46041</v>
      </c>
      <c r="C23" s="37" t="s">
        <v>7</v>
      </c>
      <c r="D23" s="38" t="s">
        <v>8</v>
      </c>
      <c r="E23" s="43" t="str">
        <f t="shared" si="0"/>
        <v>GrgLounge_HzgTEST_AN</v>
      </c>
      <c r="F23" s="31" t="str">
        <f t="shared" si="1"/>
        <v>AUS</v>
      </c>
      <c r="G23" s="32">
        <f t="shared" si="2"/>
        <v>1.3888888888888951E-2</v>
      </c>
      <c r="H23" s="32" cm="1">
        <f t="array" ref="H23">IF(A23="","-",A23-_xlfn.XLOOKUP($L$3,$E$2:E22,$A$2:A22,,FALSE,-1))</f>
        <v>1.3888888888888951E-2</v>
      </c>
      <c r="I23" s="32">
        <f t="shared" si="3"/>
        <v>0.31562499999999999</v>
      </c>
    </row>
    <row r="24" spans="1:13" x14ac:dyDescent="0.25">
      <c r="A24" s="26">
        <v>0.33124999999999999</v>
      </c>
      <c r="B24" s="27">
        <v>46041</v>
      </c>
      <c r="C24" s="37" t="s">
        <v>7</v>
      </c>
      <c r="D24" s="38" t="s">
        <v>8</v>
      </c>
      <c r="E24" s="43" t="str">
        <f t="shared" si="0"/>
        <v>GrgLounge_HzgTEST_AN</v>
      </c>
      <c r="F24" s="31" t="str">
        <f t="shared" si="1"/>
        <v>AUS</v>
      </c>
      <c r="G24" s="32">
        <f t="shared" si="2"/>
        <v>1.388888888888884E-2</v>
      </c>
      <c r="H24" s="32" cm="1">
        <f t="array" ref="H24">IF(A24="","-",A24-_xlfn.XLOOKUP($L$3,$E$2:E23,$A$2:A23,,FALSE,-1))</f>
        <v>1.388888888888884E-2</v>
      </c>
      <c r="I24" s="32">
        <f t="shared" si="3"/>
        <v>0.32951388888888883</v>
      </c>
      <c r="L24">
        <v>600</v>
      </c>
      <c r="M24">
        <v>1000</v>
      </c>
    </row>
    <row r="25" spans="1:13" x14ac:dyDescent="0.25">
      <c r="A25" s="26">
        <v>0.34513888888888888</v>
      </c>
      <c r="B25" s="27">
        <v>46041</v>
      </c>
      <c r="C25" s="37" t="s">
        <v>7</v>
      </c>
      <c r="D25" s="38" t="s">
        <v>8</v>
      </c>
      <c r="E25" s="43" t="str">
        <f t="shared" si="0"/>
        <v>GrgLounge_HzgTEST_AN</v>
      </c>
      <c r="F25" s="31" t="str">
        <f t="shared" si="1"/>
        <v>AUS</v>
      </c>
      <c r="G25" s="32">
        <f t="shared" si="2"/>
        <v>1.3888888888888895E-2</v>
      </c>
      <c r="H25" s="32" cm="1">
        <f t="array" ref="H25">IF(A25="","-",A25-_xlfn.XLOOKUP($L$3,$E$2:E24,$A$2:A24,,FALSE,-1))</f>
        <v>1.3888888888888895E-2</v>
      </c>
      <c r="I25" s="32">
        <f t="shared" si="3"/>
        <v>0.34340277777777772</v>
      </c>
      <c r="M25">
        <f>M24*L24</f>
        <v>600000</v>
      </c>
    </row>
    <row r="26" spans="1:13" x14ac:dyDescent="0.25">
      <c r="A26" s="26">
        <v>0.35902777777777778</v>
      </c>
      <c r="B26" s="27">
        <v>46041</v>
      </c>
      <c r="C26" s="37" t="s">
        <v>7</v>
      </c>
      <c r="D26" s="38" t="s">
        <v>8</v>
      </c>
      <c r="E26" s="43" t="str">
        <f t="shared" si="0"/>
        <v>GrgLounge_HzgTEST_AN</v>
      </c>
      <c r="F26" s="31" t="str">
        <f t="shared" si="1"/>
        <v>AUS</v>
      </c>
      <c r="G26" s="32">
        <f t="shared" si="2"/>
        <v>1.3888888888888895E-2</v>
      </c>
      <c r="H26" s="32" cm="1">
        <f t="array" ref="H26">IF(A26="","-",A26-_xlfn.XLOOKUP($L$3,$E$2:E25,$A$2:A25,,FALSE,-1))</f>
        <v>1.3888888888888895E-2</v>
      </c>
      <c r="I26" s="32">
        <f t="shared" si="3"/>
        <v>0.35729166666666662</v>
      </c>
    </row>
    <row r="27" spans="1:13" x14ac:dyDescent="0.25">
      <c r="A27" s="26">
        <v>0.37291666666666662</v>
      </c>
      <c r="B27" s="27">
        <v>46041</v>
      </c>
      <c r="C27" s="37" t="s">
        <v>7</v>
      </c>
      <c r="D27" s="38" t="s">
        <v>8</v>
      </c>
      <c r="E27" s="43" t="str">
        <f t="shared" si="0"/>
        <v>GrgLounge_HzgTEST_AN</v>
      </c>
      <c r="F27" s="31" t="str">
        <f t="shared" si="1"/>
        <v>AUS</v>
      </c>
      <c r="G27" s="32">
        <f t="shared" si="2"/>
        <v>1.388888888888884E-2</v>
      </c>
      <c r="H27" s="32" cm="1">
        <f t="array" ref="H27">IF(A27="","-",A27-_xlfn.XLOOKUP($L$3,$E$2:E26,$A$2:A26,,FALSE,-1))</f>
        <v>1.388888888888884E-2</v>
      </c>
      <c r="I27" s="32">
        <f t="shared" si="3"/>
        <v>0.37118055555555546</v>
      </c>
    </row>
    <row r="28" spans="1:13" x14ac:dyDescent="0.25">
      <c r="A28" s="33">
        <v>0.38680555555555557</v>
      </c>
      <c r="B28" s="42">
        <v>46041</v>
      </c>
      <c r="C28" s="41" t="s">
        <v>7</v>
      </c>
      <c r="D28" s="41" t="s">
        <v>8</v>
      </c>
      <c r="E28" s="43" t="str">
        <f t="shared" si="0"/>
        <v>GrgLounge_HzgTEST_AN</v>
      </c>
      <c r="F28" s="31" t="str">
        <f t="shared" si="1"/>
        <v>AUS</v>
      </c>
      <c r="G28" s="32">
        <f t="shared" si="2"/>
        <v>1.3888888888888951E-2</v>
      </c>
      <c r="H28" s="32" cm="1">
        <f t="array" ref="H28">IF(A28="","-",A28-_xlfn.XLOOKUP($L$3,$E$2:E27,$A$2:A27,,FALSE,-1))</f>
        <v>1.3888888888888951E-2</v>
      </c>
      <c r="I28" s="32">
        <f t="shared" si="3"/>
        <v>0.38506944444444441</v>
      </c>
    </row>
    <row r="29" spans="1:13" x14ac:dyDescent="0.25">
      <c r="A29" s="22">
        <v>0.40069444444444446</v>
      </c>
      <c r="B29" s="23">
        <v>46041</v>
      </c>
      <c r="C29" s="37" t="s">
        <v>7</v>
      </c>
      <c r="D29" s="38" t="s">
        <v>8</v>
      </c>
      <c r="E29" s="43" t="str">
        <f t="shared" si="0"/>
        <v>GrgLounge_HzgTEST_AN</v>
      </c>
      <c r="F29" s="31" t="str">
        <f t="shared" si="1"/>
        <v>AUS</v>
      </c>
      <c r="G29" s="32">
        <f t="shared" si="2"/>
        <v>1.3888888888888895E-2</v>
      </c>
      <c r="H29" s="32" cm="1">
        <f t="array" ref="H29">IF(A29="","-",A29-_xlfn.XLOOKUP($L$3,$E$2:E28,$A$2:A28,,FALSE,-1))</f>
        <v>1.3888888888888895E-2</v>
      </c>
      <c r="I29" s="32">
        <f t="shared" si="3"/>
        <v>0.3989583333333333</v>
      </c>
    </row>
    <row r="30" spans="1:13" x14ac:dyDescent="0.25">
      <c r="A30" s="22">
        <v>0.42158564814814814</v>
      </c>
      <c r="B30" s="23">
        <v>46041</v>
      </c>
      <c r="C30" s="37" t="s">
        <v>7</v>
      </c>
      <c r="D30" s="38" t="s">
        <v>9</v>
      </c>
      <c r="E30" s="43" t="str">
        <f t="shared" si="0"/>
        <v>GrgLounge_HzgTEST_AN</v>
      </c>
      <c r="F30" s="31" t="str">
        <f t="shared" si="1"/>
        <v>AN</v>
      </c>
      <c r="G30" s="32">
        <f t="shared" si="2"/>
        <v>2.0891203703703676E-2</v>
      </c>
      <c r="H30" s="32" cm="1">
        <f t="array" ref="H30">IF(A30="","-",A30-_xlfn.XLOOKUP($L$3,$E$2:E29,$A$2:A29,,FALSE,-1))</f>
        <v>2.0891203703703676E-2</v>
      </c>
      <c r="I30" s="32">
        <f t="shared" si="3"/>
        <v>0.41984953703703698</v>
      </c>
    </row>
    <row r="31" spans="1:13" x14ac:dyDescent="0.25">
      <c r="A31" s="22">
        <v>0.45649305555555553</v>
      </c>
      <c r="B31" s="23">
        <v>46041</v>
      </c>
      <c r="C31" s="37" t="s">
        <v>7</v>
      </c>
      <c r="D31" s="38" t="s">
        <v>8</v>
      </c>
      <c r="E31" s="43" t="str">
        <f t="shared" si="0"/>
        <v>GrgLounge_HzgTEST_AN</v>
      </c>
      <c r="F31" s="31" t="str">
        <f t="shared" si="1"/>
        <v>AUS</v>
      </c>
      <c r="G31" s="32">
        <f t="shared" si="2"/>
        <v>3.4907407407407387E-2</v>
      </c>
      <c r="H31" s="32" cm="1">
        <f t="array" ref="H31">IF(A31="","-",A31-_xlfn.XLOOKUP($L$3,$E$2:E30,$A$2:A30,,FALSE,-1))</f>
        <v>3.4907407407407387E-2</v>
      </c>
      <c r="I31" s="32">
        <f t="shared" si="3"/>
        <v>0.45475694444444437</v>
      </c>
      <c r="J31" t="s">
        <v>18</v>
      </c>
    </row>
    <row r="32" spans="1:13" x14ac:dyDescent="0.25">
      <c r="E32" s="43" t="str">
        <f t="shared" si="0"/>
        <v>-</v>
      </c>
      <c r="F32" s="31" t="str">
        <f t="shared" si="1"/>
        <v>-</v>
      </c>
      <c r="G32" s="32" t="str">
        <f t="shared" si="2"/>
        <v>-</v>
      </c>
      <c r="H32" s="32" t="str" cm="1">
        <f t="array" ref="H32">IF(A32="","-",A32-_xlfn.XLOOKUP($L$3,$E$2:E31,$A$2:A31,,FALSE,-1))</f>
        <v>-</v>
      </c>
      <c r="I32" s="32" t="str">
        <f t="shared" si="3"/>
        <v>-</v>
      </c>
    </row>
    <row r="33" spans="5:9" x14ac:dyDescent="0.25">
      <c r="E33" s="43" t="str">
        <f t="shared" si="0"/>
        <v>-</v>
      </c>
      <c r="F33" s="31" t="str">
        <f t="shared" si="1"/>
        <v>-</v>
      </c>
      <c r="G33" s="32" t="str">
        <f t="shared" si="2"/>
        <v>-</v>
      </c>
      <c r="H33" s="32" t="str" cm="1">
        <f t="array" ref="H33">IF(A33="","-",A33-_xlfn.XLOOKUP($L$3,$E$2:E32,$A$2:A32,,FALSE,-1))</f>
        <v>-</v>
      </c>
      <c r="I33" s="32" t="str">
        <f t="shared" si="3"/>
        <v>-</v>
      </c>
    </row>
    <row r="34" spans="5:9" x14ac:dyDescent="0.25">
      <c r="E34" s="43" t="str">
        <f t="shared" si="0"/>
        <v>-</v>
      </c>
      <c r="F34" s="31" t="str">
        <f t="shared" si="1"/>
        <v>-</v>
      </c>
      <c r="G34" s="32" t="str">
        <f t="shared" si="2"/>
        <v>-</v>
      </c>
      <c r="H34" s="32" t="str" cm="1">
        <f t="array" ref="H34">IF(A34="","-",A34-_xlfn.XLOOKUP($L$3,$E$2:E33,$A$2:A33,,FALSE,-1))</f>
        <v>-</v>
      </c>
      <c r="I34" s="32" t="str">
        <f t="shared" si="3"/>
        <v>-</v>
      </c>
    </row>
    <row r="35" spans="5:9" x14ac:dyDescent="0.25">
      <c r="E35" s="43" t="str">
        <f t="shared" si="0"/>
        <v>-</v>
      </c>
      <c r="F35" s="31" t="str">
        <f t="shared" si="1"/>
        <v>-</v>
      </c>
      <c r="G35" s="32" t="str">
        <f t="shared" si="2"/>
        <v>-</v>
      </c>
      <c r="H35" s="32" t="str" cm="1">
        <f t="array" ref="H35">IF(A35="","-",A35-_xlfn.XLOOKUP($L$3,$E$2:E34,$A$2:A34,,FALSE,-1))</f>
        <v>-</v>
      </c>
      <c r="I35" s="32" t="str">
        <f t="shared" si="3"/>
        <v>-</v>
      </c>
    </row>
    <row r="36" spans="5:9" x14ac:dyDescent="0.25">
      <c r="E36" s="43" t="str">
        <f t="shared" si="0"/>
        <v>-</v>
      </c>
      <c r="F36" s="31" t="str">
        <f t="shared" si="1"/>
        <v>-</v>
      </c>
      <c r="G36" s="32" t="str">
        <f t="shared" si="2"/>
        <v>-</v>
      </c>
      <c r="H36" s="32" t="str" cm="1">
        <f t="array" ref="H36">IF(A36="","-",A36-_xlfn.XLOOKUP($L$3,$E$2:E35,$A$2:A35,,FALSE,-1))</f>
        <v>-</v>
      </c>
      <c r="I36" s="32" t="str">
        <f t="shared" si="3"/>
        <v>-</v>
      </c>
    </row>
    <row r="37" spans="5:9" x14ac:dyDescent="0.25">
      <c r="E37" s="43" t="str">
        <f t="shared" si="0"/>
        <v>-</v>
      </c>
      <c r="F37" s="31" t="str">
        <f t="shared" si="1"/>
        <v>-</v>
      </c>
      <c r="G37" s="32" t="str">
        <f t="shared" si="2"/>
        <v>-</v>
      </c>
      <c r="H37" s="32" t="str" cm="1">
        <f t="array" ref="H37">IF(A37="","-",A37-_xlfn.XLOOKUP($L$3,$E$2:E36,$A$2:A36,,FALSE,-1))</f>
        <v>-</v>
      </c>
      <c r="I37" s="32" t="str">
        <f t="shared" si="3"/>
        <v>-</v>
      </c>
    </row>
    <row r="38" spans="5:9" x14ac:dyDescent="0.25">
      <c r="E38" s="43" t="str">
        <f t="shared" si="0"/>
        <v>-</v>
      </c>
      <c r="F38" s="31" t="str">
        <f t="shared" si="1"/>
        <v>-</v>
      </c>
      <c r="G38" s="32" t="str">
        <f t="shared" si="2"/>
        <v>-</v>
      </c>
      <c r="H38" s="32" t="str" cm="1">
        <f t="array" ref="H38">IF(A38="","-",A38-_xlfn.XLOOKUP($L$3,$E$2:E37,$A$2:A37,,FALSE,-1))</f>
        <v>-</v>
      </c>
      <c r="I38" s="32" t="str">
        <f t="shared" si="3"/>
        <v>-</v>
      </c>
    </row>
    <row r="39" spans="5:9" x14ac:dyDescent="0.25">
      <c r="E39" s="43" t="str">
        <f t="shared" si="0"/>
        <v>-</v>
      </c>
      <c r="F39" s="31" t="str">
        <f t="shared" si="1"/>
        <v>-</v>
      </c>
      <c r="G39" s="32" t="str">
        <f t="shared" si="2"/>
        <v>-</v>
      </c>
      <c r="H39" s="32" t="str" cm="1">
        <f t="array" ref="H39">IF(A39="","-",A39-_xlfn.XLOOKUP($L$3,$E$2:E38,$A$2:A38,,FALSE,-1))</f>
        <v>-</v>
      </c>
      <c r="I39" s="32" t="str">
        <f t="shared" si="3"/>
        <v>-</v>
      </c>
    </row>
    <row r="40" spans="5:9" x14ac:dyDescent="0.25">
      <c r="E40" s="43" t="str">
        <f t="shared" si="0"/>
        <v>-</v>
      </c>
      <c r="F40" s="31" t="str">
        <f t="shared" si="1"/>
        <v>-</v>
      </c>
      <c r="G40" s="32" t="str">
        <f t="shared" si="2"/>
        <v>-</v>
      </c>
      <c r="H40" s="32" t="str" cm="1">
        <f t="array" ref="H40">IF(A40="","-",A40-_xlfn.XLOOKUP($L$3,$E$2:E39,$A$2:A39,,FALSE,-1))</f>
        <v>-</v>
      </c>
      <c r="I40" s="32" t="str">
        <f t="shared" si="3"/>
        <v>-</v>
      </c>
    </row>
    <row r="41" spans="5:9" x14ac:dyDescent="0.25">
      <c r="E41" s="43" t="str">
        <f t="shared" si="0"/>
        <v>-</v>
      </c>
      <c r="F41" s="31" t="str">
        <f t="shared" si="1"/>
        <v>-</v>
      </c>
      <c r="G41" s="32" t="str">
        <f t="shared" si="2"/>
        <v>-</v>
      </c>
      <c r="H41" s="32" t="str" cm="1">
        <f t="array" ref="H41">IF(A41="","-",A41-_xlfn.XLOOKUP($L$3,$E$2:E40,$A$2:A40,,FALSE,-1))</f>
        <v>-</v>
      </c>
      <c r="I41" s="32" t="str">
        <f t="shared" si="3"/>
        <v>-</v>
      </c>
    </row>
    <row r="42" spans="5:9" x14ac:dyDescent="0.25">
      <c r="E42" s="43" t="str">
        <f t="shared" si="0"/>
        <v>-</v>
      </c>
      <c r="F42" s="31" t="str">
        <f t="shared" si="1"/>
        <v>-</v>
      </c>
      <c r="G42" s="32" t="str">
        <f t="shared" si="2"/>
        <v>-</v>
      </c>
      <c r="H42" s="32" t="str" cm="1">
        <f t="array" ref="H42">IF(A42="","-",A42-_xlfn.XLOOKUP($L$3,$E$2:E41,$A$2:A41,,FALSE,-1))</f>
        <v>-</v>
      </c>
      <c r="I42" s="32" t="str">
        <f t="shared" si="3"/>
        <v>-</v>
      </c>
    </row>
    <row r="43" spans="5:9" x14ac:dyDescent="0.25">
      <c r="E43" s="43" t="str">
        <f t="shared" si="0"/>
        <v>-</v>
      </c>
      <c r="F43" s="31" t="str">
        <f t="shared" si="1"/>
        <v>-</v>
      </c>
      <c r="G43" s="32" t="str">
        <f t="shared" si="2"/>
        <v>-</v>
      </c>
      <c r="H43" s="32" t="str" cm="1">
        <f t="array" ref="H43">IF(A43="","-",A43-_xlfn.XLOOKUP($L$3,$E$2:E42,$A$2:A42,,FALSE,-1))</f>
        <v>-</v>
      </c>
      <c r="I43" s="32" t="str">
        <f t="shared" si="3"/>
        <v>-</v>
      </c>
    </row>
    <row r="44" spans="5:9" x14ac:dyDescent="0.25">
      <c r="E44" s="43" t="str">
        <f t="shared" si="0"/>
        <v>-</v>
      </c>
      <c r="F44" s="31" t="str">
        <f t="shared" si="1"/>
        <v>-</v>
      </c>
      <c r="G44" s="32" t="str">
        <f t="shared" si="2"/>
        <v>-</v>
      </c>
      <c r="H44" s="32" t="str" cm="1">
        <f t="array" ref="H44">IF(A44="","-",A44-_xlfn.XLOOKUP($L$3,$E$2:E43,$A$2:A43,,FALSE,-1))</f>
        <v>-</v>
      </c>
      <c r="I44" s="32" t="str">
        <f t="shared" si="3"/>
        <v>-</v>
      </c>
    </row>
    <row r="45" spans="5:9" x14ac:dyDescent="0.25">
      <c r="E45" s="43" t="str">
        <f t="shared" si="0"/>
        <v>-</v>
      </c>
      <c r="F45" s="31" t="str">
        <f t="shared" si="1"/>
        <v>-</v>
      </c>
      <c r="G45" s="32" t="str">
        <f t="shared" si="2"/>
        <v>-</v>
      </c>
      <c r="H45" s="32" t="str" cm="1">
        <f t="array" ref="H45">IF(A45="","-",A45-_xlfn.XLOOKUP($L$3,$E$2:E44,$A$2:A44,,FALSE,-1))</f>
        <v>-</v>
      </c>
      <c r="I45" s="32" t="str">
        <f t="shared" si="3"/>
        <v>-</v>
      </c>
    </row>
    <row r="46" spans="5:9" x14ac:dyDescent="0.25">
      <c r="E46" s="43" t="str">
        <f t="shared" si="0"/>
        <v>-</v>
      </c>
      <c r="F46" s="31" t="str">
        <f t="shared" si="1"/>
        <v>-</v>
      </c>
      <c r="G46" s="32" t="str">
        <f t="shared" si="2"/>
        <v>-</v>
      </c>
      <c r="H46" s="32" t="str" cm="1">
        <f t="array" ref="H46">IF(A46="","-",A46-_xlfn.XLOOKUP($L$3,$E$2:E45,$A$2:A45,,FALSE,-1))</f>
        <v>-</v>
      </c>
      <c r="I46" s="32" t="str">
        <f t="shared" si="3"/>
        <v>-</v>
      </c>
    </row>
    <row r="47" spans="5:9" x14ac:dyDescent="0.25">
      <c r="E47" s="43" t="str">
        <f t="shared" si="0"/>
        <v>-</v>
      </c>
      <c r="F47" s="31" t="str">
        <f t="shared" si="1"/>
        <v>-</v>
      </c>
      <c r="G47" s="32" t="str">
        <f t="shared" si="2"/>
        <v>-</v>
      </c>
      <c r="H47" s="32" t="str" cm="1">
        <f t="array" ref="H47">IF(A47="","-",A47-_xlfn.XLOOKUP($L$3,$E$2:E46,$A$2:A46,,FALSE,-1))</f>
        <v>-</v>
      </c>
      <c r="I47" s="32" t="str">
        <f t="shared" si="3"/>
        <v>-</v>
      </c>
    </row>
    <row r="48" spans="5:9" x14ac:dyDescent="0.25">
      <c r="E48" s="43" t="str">
        <f t="shared" si="0"/>
        <v>-</v>
      </c>
      <c r="F48" s="31" t="str">
        <f t="shared" si="1"/>
        <v>-</v>
      </c>
      <c r="G48" s="32" t="str">
        <f t="shared" si="2"/>
        <v>-</v>
      </c>
      <c r="H48" s="32" t="str" cm="1">
        <f t="array" ref="H48">IF(A48="","-",A48-_xlfn.XLOOKUP($L$3,$E$2:E47,$A$2:A47,,FALSE,-1))</f>
        <v>-</v>
      </c>
      <c r="I48" s="32" t="str">
        <f t="shared" si="3"/>
        <v>-</v>
      </c>
    </row>
    <row r="49" spans="5:9" x14ac:dyDescent="0.25">
      <c r="E49" s="43" t="str">
        <f t="shared" si="0"/>
        <v>-</v>
      </c>
      <c r="F49" s="31" t="str">
        <f t="shared" si="1"/>
        <v>-</v>
      </c>
      <c r="G49" s="32" t="str">
        <f t="shared" si="2"/>
        <v>-</v>
      </c>
      <c r="H49" s="32" t="str" cm="1">
        <f t="array" ref="H49">IF(A49="","-",A49-_xlfn.XLOOKUP($L$3,$E$2:E48,$A$2:A48,,FALSE,-1))</f>
        <v>-</v>
      </c>
      <c r="I49" s="32" t="str">
        <f t="shared" si="3"/>
        <v>-</v>
      </c>
    </row>
    <row r="50" spans="5:9" x14ac:dyDescent="0.25">
      <c r="E50" s="43" t="str">
        <f t="shared" si="0"/>
        <v>-</v>
      </c>
      <c r="F50" s="31" t="str">
        <f t="shared" si="1"/>
        <v>-</v>
      </c>
      <c r="G50" s="32" t="str">
        <f t="shared" si="2"/>
        <v>-</v>
      </c>
      <c r="H50" s="32" t="str" cm="1">
        <f t="array" ref="H50">IF(A50="","-",A50-_xlfn.XLOOKUP($L$3,$E$2:E49,$A$2:A49,,FALSE,-1))</f>
        <v>-</v>
      </c>
      <c r="I50" s="32" t="str">
        <f t="shared" si="3"/>
        <v>-</v>
      </c>
    </row>
    <row r="51" spans="5:9" x14ac:dyDescent="0.25">
      <c r="E51" s="43" t="str">
        <f t="shared" si="0"/>
        <v>-</v>
      </c>
      <c r="F51" s="31" t="str">
        <f t="shared" si="1"/>
        <v>-</v>
      </c>
      <c r="G51" s="32" t="str">
        <f t="shared" si="2"/>
        <v>-</v>
      </c>
      <c r="H51" s="32" t="str" cm="1">
        <f t="array" ref="H51">IF(A51="","-",A51-_xlfn.XLOOKUP($L$3,$E$2:E50,$A$2:A50,,FALSE,-1))</f>
        <v>-</v>
      </c>
      <c r="I51" s="32" t="str">
        <f t="shared" si="3"/>
        <v>-</v>
      </c>
    </row>
    <row r="52" spans="5:9" x14ac:dyDescent="0.25">
      <c r="E52" s="43" t="str">
        <f t="shared" si="0"/>
        <v>-</v>
      </c>
      <c r="F52" s="31" t="str">
        <f t="shared" si="1"/>
        <v>-</v>
      </c>
      <c r="G52" s="32" t="str">
        <f t="shared" si="2"/>
        <v>-</v>
      </c>
      <c r="H52" s="32" t="str" cm="1">
        <f t="array" ref="H52">IF(A52="","-",A52-_xlfn.XLOOKUP($L$3,$E$2:E51,$A$2:A51,,FALSE,-1))</f>
        <v>-</v>
      </c>
      <c r="I52" s="32" t="str">
        <f t="shared" si="3"/>
        <v>-</v>
      </c>
    </row>
    <row r="53" spans="5:9" x14ac:dyDescent="0.25">
      <c r="E53" s="43" t="str">
        <f t="shared" si="0"/>
        <v>-</v>
      </c>
      <c r="F53" s="31" t="str">
        <f t="shared" si="1"/>
        <v>-</v>
      </c>
      <c r="G53" s="32" t="str">
        <f t="shared" si="2"/>
        <v>-</v>
      </c>
      <c r="H53" s="32" t="str" cm="1">
        <f t="array" ref="H53">IF(A53="","-",A53-_xlfn.XLOOKUP($L$3,$E$2:E52,$A$2:A52,,FALSE,-1))</f>
        <v>-</v>
      </c>
      <c r="I53" s="32" t="str">
        <f t="shared" si="3"/>
        <v>-</v>
      </c>
    </row>
    <row r="54" spans="5:9" x14ac:dyDescent="0.25">
      <c r="E54" s="43" t="str">
        <f t="shared" si="0"/>
        <v>-</v>
      </c>
      <c r="F54" s="31" t="str">
        <f t="shared" si="1"/>
        <v>-</v>
      </c>
      <c r="G54" s="32" t="str">
        <f t="shared" si="2"/>
        <v>-</v>
      </c>
      <c r="H54" s="32" t="str" cm="1">
        <f t="array" ref="H54">IF(A54="","-",A54-_xlfn.XLOOKUP($L$3,$E$2:E53,$A$2:A53,,FALSE,-1))</f>
        <v>-</v>
      </c>
      <c r="I54" s="32" t="str">
        <f t="shared" si="3"/>
        <v>-</v>
      </c>
    </row>
    <row r="55" spans="5:9" x14ac:dyDescent="0.25">
      <c r="E55" s="43" t="str">
        <f t="shared" si="0"/>
        <v>-</v>
      </c>
      <c r="F55" s="31" t="str">
        <f t="shared" si="1"/>
        <v>-</v>
      </c>
      <c r="G55" s="32" t="str">
        <f t="shared" si="2"/>
        <v>-</v>
      </c>
      <c r="H55" s="32" t="str" cm="1">
        <f t="array" ref="H55">IF(A55="","-",A55-_xlfn.XLOOKUP($L$3,$E$2:E54,$A$2:A54,,FALSE,-1))</f>
        <v>-</v>
      </c>
      <c r="I55" s="32" t="str">
        <f t="shared" si="3"/>
        <v>-</v>
      </c>
    </row>
    <row r="56" spans="5:9" x14ac:dyDescent="0.25">
      <c r="E56" s="43" t="str">
        <f t="shared" si="0"/>
        <v>-</v>
      </c>
      <c r="F56" s="31" t="str">
        <f t="shared" si="1"/>
        <v>-</v>
      </c>
      <c r="G56" s="32" t="str">
        <f t="shared" si="2"/>
        <v>-</v>
      </c>
      <c r="H56" s="32" t="str" cm="1">
        <f t="array" ref="H56">IF(A56="","-",A56-_xlfn.XLOOKUP($L$3,$E$2:E55,$A$2:A55,,FALSE,-1))</f>
        <v>-</v>
      </c>
      <c r="I56" s="32" t="str">
        <f t="shared" si="3"/>
        <v>-</v>
      </c>
    </row>
    <row r="57" spans="5:9" x14ac:dyDescent="0.25">
      <c r="E57" s="43" t="str">
        <f t="shared" si="0"/>
        <v>-</v>
      </c>
      <c r="F57" s="31" t="str">
        <f t="shared" si="1"/>
        <v>-</v>
      </c>
      <c r="G57" s="32" t="str">
        <f t="shared" si="2"/>
        <v>-</v>
      </c>
      <c r="H57" s="32" t="str" cm="1">
        <f t="array" ref="H57">IF(A57="","-",A57-_xlfn.XLOOKUP($L$3,$E$2:E56,$A$2:A56,,FALSE,-1))</f>
        <v>-</v>
      </c>
      <c r="I57" s="32" t="str">
        <f t="shared" si="3"/>
        <v>-</v>
      </c>
    </row>
    <row r="58" spans="5:9" x14ac:dyDescent="0.25">
      <c r="E58" s="43" t="str">
        <f t="shared" si="0"/>
        <v>-</v>
      </c>
      <c r="F58" s="31" t="str">
        <f t="shared" si="1"/>
        <v>-</v>
      </c>
      <c r="G58" s="32" t="str">
        <f t="shared" si="2"/>
        <v>-</v>
      </c>
      <c r="H58" s="32" t="str" cm="1">
        <f t="array" ref="H58">IF(A58="","-",A58-_xlfn.XLOOKUP($L$3,$E$2:E57,$A$2:A57,,FALSE,-1))</f>
        <v>-</v>
      </c>
      <c r="I58" s="32" t="str">
        <f t="shared" si="3"/>
        <v>-</v>
      </c>
    </row>
    <row r="59" spans="5:9" x14ac:dyDescent="0.25">
      <c r="E59" s="43" t="str">
        <f t="shared" si="0"/>
        <v>-</v>
      </c>
      <c r="F59" s="31" t="str">
        <f t="shared" si="1"/>
        <v>-</v>
      </c>
      <c r="G59" s="32" t="str">
        <f t="shared" si="2"/>
        <v>-</v>
      </c>
      <c r="H59" s="32" t="str" cm="1">
        <f t="array" ref="H59">IF(A59="","-",A59-_xlfn.XLOOKUP($L$3,$E$2:E58,$A$2:A58,,FALSE,-1))</f>
        <v>-</v>
      </c>
      <c r="I59" s="32" t="str">
        <f t="shared" si="3"/>
        <v>-</v>
      </c>
    </row>
    <row r="60" spans="5:9" x14ac:dyDescent="0.25">
      <c r="E60" s="43" t="str">
        <f t="shared" si="0"/>
        <v>-</v>
      </c>
      <c r="F60" s="31" t="str">
        <f t="shared" si="1"/>
        <v>-</v>
      </c>
      <c r="G60" s="32" t="str">
        <f t="shared" si="2"/>
        <v>-</v>
      </c>
      <c r="H60" s="32" t="str" cm="1">
        <f t="array" ref="H60">IF(A60="","-",A60-_xlfn.XLOOKUP($L$3,$E$2:E59,$A$2:A59,,FALSE,-1))</f>
        <v>-</v>
      </c>
      <c r="I60" s="32" t="str">
        <f t="shared" si="3"/>
        <v>-</v>
      </c>
    </row>
    <row r="61" spans="5:9" x14ac:dyDescent="0.25">
      <c r="E61" s="43" t="str">
        <f t="shared" si="0"/>
        <v>-</v>
      </c>
      <c r="F61" s="31" t="str">
        <f t="shared" si="1"/>
        <v>-</v>
      </c>
      <c r="G61" s="32" t="str">
        <f t="shared" si="2"/>
        <v>-</v>
      </c>
      <c r="H61" s="32" t="str" cm="1">
        <f t="array" ref="H61">IF(A61="","-",A61-_xlfn.XLOOKUP($L$3,$E$2:E60,$A$2:A60,,FALSE,-1))</f>
        <v>-</v>
      </c>
      <c r="I61" s="32" t="str">
        <f t="shared" si="3"/>
        <v>-</v>
      </c>
    </row>
    <row r="62" spans="5:9" x14ac:dyDescent="0.25">
      <c r="E62" s="43" t="str">
        <f t="shared" si="0"/>
        <v>-</v>
      </c>
      <c r="F62" s="31" t="str">
        <f t="shared" si="1"/>
        <v>-</v>
      </c>
      <c r="G62" s="32" t="str">
        <f t="shared" si="2"/>
        <v>-</v>
      </c>
      <c r="H62" s="32" t="str" cm="1">
        <f t="array" ref="H62">IF(A62="","-",A62-_xlfn.XLOOKUP($L$3,$E$2:E61,$A$2:A61,,FALSE,-1))</f>
        <v>-</v>
      </c>
      <c r="I62" s="32" t="str">
        <f t="shared" si="3"/>
        <v>-</v>
      </c>
    </row>
    <row r="63" spans="5:9" x14ac:dyDescent="0.25">
      <c r="E63" s="43" t="str">
        <f t="shared" si="0"/>
        <v>-</v>
      </c>
      <c r="F63" s="31" t="str">
        <f t="shared" si="1"/>
        <v>-</v>
      </c>
      <c r="G63" s="32" t="str">
        <f t="shared" si="2"/>
        <v>-</v>
      </c>
      <c r="H63" s="32" t="str" cm="1">
        <f t="array" ref="H63">IF(A63="","-",A63-_xlfn.XLOOKUP($L$3,$E$2:E62,$A$2:A62,,FALSE,-1))</f>
        <v>-</v>
      </c>
      <c r="I63" s="32" t="str">
        <f t="shared" si="3"/>
        <v>-</v>
      </c>
    </row>
    <row r="64" spans="5:9" x14ac:dyDescent="0.25">
      <c r="E64" s="43" t="str">
        <f t="shared" si="0"/>
        <v>-</v>
      </c>
      <c r="F64" s="31" t="str">
        <f t="shared" si="1"/>
        <v>-</v>
      </c>
      <c r="G64" s="32" t="str">
        <f t="shared" si="2"/>
        <v>-</v>
      </c>
      <c r="H64" s="32" t="str" cm="1">
        <f t="array" ref="H64">IF(A64="","-",A64-_xlfn.XLOOKUP($L$3,$E$2:E63,$A$2:A63,,FALSE,-1))</f>
        <v>-</v>
      </c>
      <c r="I64" s="32" t="str">
        <f t="shared" si="3"/>
        <v>-</v>
      </c>
    </row>
    <row r="65" spans="5:9" x14ac:dyDescent="0.25">
      <c r="E65" s="43" t="str">
        <f t="shared" si="0"/>
        <v>-</v>
      </c>
      <c r="F65" s="31" t="str">
        <f t="shared" si="1"/>
        <v>-</v>
      </c>
      <c r="G65" s="32" t="str">
        <f t="shared" si="2"/>
        <v>-</v>
      </c>
      <c r="H65" s="32" t="str" cm="1">
        <f t="array" ref="H65">IF(A65="","-",A65-_xlfn.XLOOKUP($L$3,$E$2:E64,$A$2:A64,,FALSE,-1))</f>
        <v>-</v>
      </c>
      <c r="I65" s="32" t="str">
        <f t="shared" si="3"/>
        <v>-</v>
      </c>
    </row>
    <row r="66" spans="5:9" x14ac:dyDescent="0.25">
      <c r="E66" s="43" t="str">
        <f t="shared" si="0"/>
        <v>-</v>
      </c>
      <c r="F66" s="31" t="str">
        <f t="shared" si="1"/>
        <v>-</v>
      </c>
      <c r="G66" s="32" t="str">
        <f t="shared" si="2"/>
        <v>-</v>
      </c>
      <c r="H66" s="32" t="str" cm="1">
        <f t="array" ref="H66">IF(A66="","-",A66-_xlfn.XLOOKUP($L$3,$E$2:E65,$A$2:A65,,FALSE,-1))</f>
        <v>-</v>
      </c>
      <c r="I66" s="32" t="str">
        <f t="shared" si="3"/>
        <v>-</v>
      </c>
    </row>
    <row r="67" spans="5:9" x14ac:dyDescent="0.25">
      <c r="E67" s="43" t="str">
        <f t="shared" ref="E67:E130" si="4">IF(A67="","-",VLOOKUP(C67,$L$3:$O$8,2,FALSE))</f>
        <v>-</v>
      </c>
      <c r="F67" s="31" t="str">
        <f t="shared" ref="F67:F130" si="5">IF(A67="","-",IF(OR(C67=$L$10,C67=$L$11,C67=$L$12),MID(SUBSTITUTE(D67,".",","),1,FIND("(",SUBSTITUTE(D67,".",","))-1)*1,D67))</f>
        <v>-</v>
      </c>
      <c r="G67" s="32" t="str">
        <f t="shared" ref="G67:G130" si="6">IF(A67="","-",A67-A66)</f>
        <v>-</v>
      </c>
      <c r="H67" s="32" t="str" cm="1">
        <f t="array" ref="H67">IF(A67="","-",A67-_xlfn.XLOOKUP($L$3,$E$2:E66,$A$2:A66,,FALSE,-1))</f>
        <v>-</v>
      </c>
      <c r="I67" s="32" t="str">
        <f t="shared" ref="I67:I130" si="7">IF(A67="","-",A67-0.00173611111111116)</f>
        <v>-</v>
      </c>
    </row>
    <row r="68" spans="5:9" x14ac:dyDescent="0.25">
      <c r="E68" s="43" t="str">
        <f t="shared" si="4"/>
        <v>-</v>
      </c>
      <c r="F68" s="31" t="str">
        <f t="shared" si="5"/>
        <v>-</v>
      </c>
      <c r="G68" s="32" t="str">
        <f t="shared" si="6"/>
        <v>-</v>
      </c>
      <c r="H68" s="32" t="str" cm="1">
        <f t="array" ref="H68">IF(A68="","-",A68-_xlfn.XLOOKUP($L$3,$E$2:E67,$A$2:A67,,FALSE,-1))</f>
        <v>-</v>
      </c>
      <c r="I68" s="32" t="str">
        <f t="shared" si="7"/>
        <v>-</v>
      </c>
    </row>
    <row r="69" spans="5:9" x14ac:dyDescent="0.25">
      <c r="E69" s="43" t="str">
        <f t="shared" si="4"/>
        <v>-</v>
      </c>
      <c r="F69" s="31" t="str">
        <f t="shared" si="5"/>
        <v>-</v>
      </c>
      <c r="G69" s="32" t="str">
        <f t="shared" si="6"/>
        <v>-</v>
      </c>
      <c r="H69" s="32" t="str" cm="1">
        <f t="array" ref="H69">IF(A69="","-",A69-_xlfn.XLOOKUP($L$3,$E$2:E68,$A$2:A68,,FALSE,-1))</f>
        <v>-</v>
      </c>
      <c r="I69" s="32" t="str">
        <f t="shared" si="7"/>
        <v>-</v>
      </c>
    </row>
    <row r="70" spans="5:9" x14ac:dyDescent="0.25">
      <c r="E70" s="43" t="str">
        <f t="shared" si="4"/>
        <v>-</v>
      </c>
      <c r="F70" s="31" t="str">
        <f t="shared" si="5"/>
        <v>-</v>
      </c>
      <c r="G70" s="32" t="str">
        <f t="shared" si="6"/>
        <v>-</v>
      </c>
      <c r="H70" s="32" t="str" cm="1">
        <f t="array" ref="H70">IF(A70="","-",A70-_xlfn.XLOOKUP($L$3,$E$2:E69,$A$2:A69,,FALSE,-1))</f>
        <v>-</v>
      </c>
      <c r="I70" s="32" t="str">
        <f t="shared" si="7"/>
        <v>-</v>
      </c>
    </row>
    <row r="71" spans="5:9" x14ac:dyDescent="0.25">
      <c r="E71" s="43" t="str">
        <f t="shared" si="4"/>
        <v>-</v>
      </c>
      <c r="F71" s="31" t="str">
        <f t="shared" si="5"/>
        <v>-</v>
      </c>
      <c r="G71" s="32" t="str">
        <f t="shared" si="6"/>
        <v>-</v>
      </c>
      <c r="H71" s="32" t="str" cm="1">
        <f t="array" ref="H71">IF(A71="","-",A71-_xlfn.XLOOKUP($L$3,$E$2:E70,$A$2:A70,,FALSE,-1))</f>
        <v>-</v>
      </c>
      <c r="I71" s="32" t="str">
        <f t="shared" si="7"/>
        <v>-</v>
      </c>
    </row>
    <row r="72" spans="5:9" x14ac:dyDescent="0.25">
      <c r="E72" s="43" t="str">
        <f t="shared" si="4"/>
        <v>-</v>
      </c>
      <c r="F72" s="31" t="str">
        <f t="shared" si="5"/>
        <v>-</v>
      </c>
      <c r="G72" s="32" t="str">
        <f t="shared" si="6"/>
        <v>-</v>
      </c>
      <c r="H72" s="32" t="str" cm="1">
        <f t="array" ref="H72">IF(A72="","-",A72-_xlfn.XLOOKUP($L$3,$E$2:E71,$A$2:A71,,FALSE,-1))</f>
        <v>-</v>
      </c>
      <c r="I72" s="32" t="str">
        <f t="shared" si="7"/>
        <v>-</v>
      </c>
    </row>
    <row r="73" spans="5:9" x14ac:dyDescent="0.25">
      <c r="E73" s="43" t="str">
        <f t="shared" si="4"/>
        <v>-</v>
      </c>
      <c r="F73" s="31" t="str">
        <f t="shared" si="5"/>
        <v>-</v>
      </c>
      <c r="G73" s="32" t="str">
        <f t="shared" si="6"/>
        <v>-</v>
      </c>
      <c r="H73" s="32" t="str" cm="1">
        <f t="array" ref="H73">IF(A73="","-",A73-_xlfn.XLOOKUP($L$3,$E$2:E72,$A$2:A72,,FALSE,-1))</f>
        <v>-</v>
      </c>
      <c r="I73" s="32" t="str">
        <f t="shared" si="7"/>
        <v>-</v>
      </c>
    </row>
    <row r="74" spans="5:9" x14ac:dyDescent="0.25">
      <c r="E74" s="43" t="str">
        <f t="shared" si="4"/>
        <v>-</v>
      </c>
      <c r="F74" s="31" t="str">
        <f t="shared" si="5"/>
        <v>-</v>
      </c>
      <c r="G74" s="32" t="str">
        <f t="shared" si="6"/>
        <v>-</v>
      </c>
      <c r="H74" s="32" t="str" cm="1">
        <f t="array" ref="H74">IF(A74="","-",A74-_xlfn.XLOOKUP($L$3,$E$2:E73,$A$2:A73,,FALSE,-1))</f>
        <v>-</v>
      </c>
      <c r="I74" s="32" t="str">
        <f t="shared" si="7"/>
        <v>-</v>
      </c>
    </row>
    <row r="75" spans="5:9" x14ac:dyDescent="0.25">
      <c r="E75" s="43" t="str">
        <f t="shared" si="4"/>
        <v>-</v>
      </c>
      <c r="F75" s="31" t="str">
        <f t="shared" si="5"/>
        <v>-</v>
      </c>
      <c r="G75" s="32" t="str">
        <f t="shared" si="6"/>
        <v>-</v>
      </c>
      <c r="H75" s="32" t="str" cm="1">
        <f t="array" ref="H75">IF(A75="","-",A75-_xlfn.XLOOKUP($L$3,$E$2:E74,$A$2:A74,,FALSE,-1))</f>
        <v>-</v>
      </c>
      <c r="I75" s="32" t="str">
        <f t="shared" si="7"/>
        <v>-</v>
      </c>
    </row>
    <row r="76" spans="5:9" x14ac:dyDescent="0.25">
      <c r="E76" s="43" t="str">
        <f t="shared" si="4"/>
        <v>-</v>
      </c>
      <c r="F76" s="31" t="str">
        <f t="shared" si="5"/>
        <v>-</v>
      </c>
      <c r="G76" s="32" t="str">
        <f t="shared" si="6"/>
        <v>-</v>
      </c>
      <c r="H76" s="32" t="str" cm="1">
        <f t="array" ref="H76">IF(A76="","-",A76-_xlfn.XLOOKUP($L$3,$E$2:E75,$A$2:A75,,FALSE,-1))</f>
        <v>-</v>
      </c>
      <c r="I76" s="32" t="str">
        <f t="shared" si="7"/>
        <v>-</v>
      </c>
    </row>
    <row r="77" spans="5:9" x14ac:dyDescent="0.25">
      <c r="E77" s="43" t="str">
        <f t="shared" si="4"/>
        <v>-</v>
      </c>
      <c r="F77" s="31" t="str">
        <f t="shared" si="5"/>
        <v>-</v>
      </c>
      <c r="G77" s="32" t="str">
        <f t="shared" si="6"/>
        <v>-</v>
      </c>
      <c r="H77" s="32" t="str" cm="1">
        <f t="array" ref="H77">IF(A77="","-",A77-_xlfn.XLOOKUP($L$3,$E$2:E76,$A$2:A76,,FALSE,-1))</f>
        <v>-</v>
      </c>
      <c r="I77" s="32" t="str">
        <f t="shared" si="7"/>
        <v>-</v>
      </c>
    </row>
    <row r="78" spans="5:9" x14ac:dyDescent="0.25">
      <c r="E78" s="43" t="str">
        <f t="shared" si="4"/>
        <v>-</v>
      </c>
      <c r="F78" s="31" t="str">
        <f t="shared" si="5"/>
        <v>-</v>
      </c>
      <c r="G78" s="32" t="str">
        <f t="shared" si="6"/>
        <v>-</v>
      </c>
      <c r="H78" s="32" t="str" cm="1">
        <f t="array" ref="H78">IF(A78="","-",A78-_xlfn.XLOOKUP($L$3,$E$2:E77,$A$2:A77,,FALSE,-1))</f>
        <v>-</v>
      </c>
      <c r="I78" s="32" t="str">
        <f t="shared" si="7"/>
        <v>-</v>
      </c>
    </row>
    <row r="79" spans="5:9" x14ac:dyDescent="0.25">
      <c r="E79" s="43" t="str">
        <f t="shared" si="4"/>
        <v>-</v>
      </c>
      <c r="F79" s="31" t="str">
        <f t="shared" si="5"/>
        <v>-</v>
      </c>
      <c r="G79" s="32" t="str">
        <f t="shared" si="6"/>
        <v>-</v>
      </c>
      <c r="H79" s="32" t="str" cm="1">
        <f t="array" ref="H79">IF(A79="","-",A79-_xlfn.XLOOKUP($L$3,$E$2:E78,$A$2:A78,,FALSE,-1))</f>
        <v>-</v>
      </c>
      <c r="I79" s="32" t="str">
        <f t="shared" si="7"/>
        <v>-</v>
      </c>
    </row>
    <row r="80" spans="5:9" x14ac:dyDescent="0.25">
      <c r="E80" s="43" t="str">
        <f t="shared" si="4"/>
        <v>-</v>
      </c>
      <c r="F80" s="31" t="str">
        <f t="shared" si="5"/>
        <v>-</v>
      </c>
      <c r="G80" s="32" t="str">
        <f t="shared" si="6"/>
        <v>-</v>
      </c>
      <c r="H80" s="32" t="str" cm="1">
        <f t="array" ref="H80">IF(A80="","-",A80-_xlfn.XLOOKUP($L$3,$E$2:E79,$A$2:A79,,FALSE,-1))</f>
        <v>-</v>
      </c>
      <c r="I80" s="32" t="str">
        <f t="shared" si="7"/>
        <v>-</v>
      </c>
    </row>
    <row r="81" spans="5:9" x14ac:dyDescent="0.25">
      <c r="E81" s="43" t="str">
        <f t="shared" si="4"/>
        <v>-</v>
      </c>
      <c r="F81" s="31" t="str">
        <f t="shared" si="5"/>
        <v>-</v>
      </c>
      <c r="G81" s="32" t="str">
        <f t="shared" si="6"/>
        <v>-</v>
      </c>
      <c r="H81" s="32" t="str" cm="1">
        <f t="array" ref="H81">IF(A81="","-",A81-_xlfn.XLOOKUP($L$3,$E$2:E80,$A$2:A80,,FALSE,-1))</f>
        <v>-</v>
      </c>
      <c r="I81" s="32" t="str">
        <f t="shared" si="7"/>
        <v>-</v>
      </c>
    </row>
    <row r="82" spans="5:9" x14ac:dyDescent="0.25">
      <c r="E82" s="43" t="str">
        <f t="shared" si="4"/>
        <v>-</v>
      </c>
      <c r="F82" s="31" t="str">
        <f t="shared" si="5"/>
        <v>-</v>
      </c>
      <c r="G82" s="32" t="str">
        <f t="shared" si="6"/>
        <v>-</v>
      </c>
      <c r="H82" s="32" t="str" cm="1">
        <f t="array" ref="H82">IF(A82="","-",A82-_xlfn.XLOOKUP($L$3,$E$2:E81,$A$2:A81,,FALSE,-1))</f>
        <v>-</v>
      </c>
      <c r="I82" s="32" t="str">
        <f t="shared" si="7"/>
        <v>-</v>
      </c>
    </row>
    <row r="83" spans="5:9" x14ac:dyDescent="0.25">
      <c r="E83" s="43" t="str">
        <f t="shared" si="4"/>
        <v>-</v>
      </c>
      <c r="F83" s="31" t="str">
        <f t="shared" si="5"/>
        <v>-</v>
      </c>
      <c r="G83" s="32" t="str">
        <f t="shared" si="6"/>
        <v>-</v>
      </c>
      <c r="H83" s="32" t="str" cm="1">
        <f t="array" ref="H83">IF(A83="","-",A83-_xlfn.XLOOKUP($L$3,$E$2:E82,$A$2:A82,,FALSE,-1))</f>
        <v>-</v>
      </c>
      <c r="I83" s="32" t="str">
        <f t="shared" si="7"/>
        <v>-</v>
      </c>
    </row>
    <row r="84" spans="5:9" x14ac:dyDescent="0.25">
      <c r="E84" s="43" t="str">
        <f t="shared" si="4"/>
        <v>-</v>
      </c>
      <c r="F84" s="31" t="str">
        <f t="shared" si="5"/>
        <v>-</v>
      </c>
      <c r="G84" s="32" t="str">
        <f t="shared" si="6"/>
        <v>-</v>
      </c>
      <c r="H84" s="32" t="str" cm="1">
        <f t="array" ref="H84">IF(A84="","-",A84-_xlfn.XLOOKUP($L$3,$E$2:E83,$A$2:A83,,FALSE,-1))</f>
        <v>-</v>
      </c>
      <c r="I84" s="32" t="str">
        <f t="shared" si="7"/>
        <v>-</v>
      </c>
    </row>
    <row r="85" spans="5:9" x14ac:dyDescent="0.25">
      <c r="E85" s="43" t="str">
        <f t="shared" si="4"/>
        <v>-</v>
      </c>
      <c r="F85" s="31" t="str">
        <f t="shared" si="5"/>
        <v>-</v>
      </c>
      <c r="G85" s="32" t="str">
        <f t="shared" si="6"/>
        <v>-</v>
      </c>
      <c r="H85" s="32" t="str" cm="1">
        <f t="array" ref="H85">IF(A85="","-",A85-_xlfn.XLOOKUP($L$3,$E$2:E84,$A$2:A84,,FALSE,-1))</f>
        <v>-</v>
      </c>
      <c r="I85" s="32" t="str">
        <f t="shared" si="7"/>
        <v>-</v>
      </c>
    </row>
    <row r="86" spans="5:9" x14ac:dyDescent="0.25">
      <c r="E86" s="43" t="str">
        <f t="shared" si="4"/>
        <v>-</v>
      </c>
      <c r="F86" s="31" t="str">
        <f t="shared" si="5"/>
        <v>-</v>
      </c>
      <c r="G86" s="32" t="str">
        <f t="shared" si="6"/>
        <v>-</v>
      </c>
      <c r="H86" s="32" t="str" cm="1">
        <f t="array" ref="H86">IF(A86="","-",A86-_xlfn.XLOOKUP($L$3,$E$2:E85,$A$2:A85,,FALSE,-1))</f>
        <v>-</v>
      </c>
      <c r="I86" s="32" t="str">
        <f t="shared" si="7"/>
        <v>-</v>
      </c>
    </row>
    <row r="87" spans="5:9" x14ac:dyDescent="0.25">
      <c r="E87" s="43" t="str">
        <f t="shared" si="4"/>
        <v>-</v>
      </c>
      <c r="F87" s="31" t="str">
        <f t="shared" si="5"/>
        <v>-</v>
      </c>
      <c r="G87" s="32" t="str">
        <f t="shared" si="6"/>
        <v>-</v>
      </c>
      <c r="H87" s="32" t="str" cm="1">
        <f t="array" ref="H87">IF(A87="","-",A87-_xlfn.XLOOKUP($L$3,$E$2:E86,$A$2:A86,,FALSE,-1))</f>
        <v>-</v>
      </c>
      <c r="I87" s="32" t="str">
        <f t="shared" si="7"/>
        <v>-</v>
      </c>
    </row>
    <row r="88" spans="5:9" x14ac:dyDescent="0.25">
      <c r="E88" s="43" t="str">
        <f t="shared" si="4"/>
        <v>-</v>
      </c>
      <c r="F88" s="31" t="str">
        <f t="shared" si="5"/>
        <v>-</v>
      </c>
      <c r="G88" s="32" t="str">
        <f t="shared" si="6"/>
        <v>-</v>
      </c>
      <c r="H88" s="32" t="str" cm="1">
        <f t="array" ref="H88">IF(A88="","-",A88-_xlfn.XLOOKUP($L$3,$E$2:E87,$A$2:A87,,FALSE,-1))</f>
        <v>-</v>
      </c>
      <c r="I88" s="32" t="str">
        <f t="shared" si="7"/>
        <v>-</v>
      </c>
    </row>
    <row r="89" spans="5:9" x14ac:dyDescent="0.25">
      <c r="E89" s="43" t="str">
        <f t="shared" si="4"/>
        <v>-</v>
      </c>
      <c r="F89" s="31" t="str">
        <f t="shared" si="5"/>
        <v>-</v>
      </c>
      <c r="G89" s="32" t="str">
        <f t="shared" si="6"/>
        <v>-</v>
      </c>
      <c r="H89" s="32" t="str" cm="1">
        <f t="array" ref="H89">IF(A89="","-",A89-_xlfn.XLOOKUP($L$3,$E$2:E88,$A$2:A88,,FALSE,-1))</f>
        <v>-</v>
      </c>
      <c r="I89" s="32" t="str">
        <f t="shared" si="7"/>
        <v>-</v>
      </c>
    </row>
    <row r="90" spans="5:9" x14ac:dyDescent="0.25">
      <c r="E90" s="43" t="str">
        <f t="shared" si="4"/>
        <v>-</v>
      </c>
      <c r="F90" s="31" t="str">
        <f t="shared" si="5"/>
        <v>-</v>
      </c>
      <c r="G90" s="32" t="str">
        <f t="shared" si="6"/>
        <v>-</v>
      </c>
      <c r="H90" s="32" t="str" cm="1">
        <f t="array" ref="H90">IF(A90="","-",A90-_xlfn.XLOOKUP($L$3,$E$2:E89,$A$2:A89,,FALSE,-1))</f>
        <v>-</v>
      </c>
      <c r="I90" s="32" t="str">
        <f t="shared" si="7"/>
        <v>-</v>
      </c>
    </row>
    <row r="91" spans="5:9" x14ac:dyDescent="0.25">
      <c r="E91" s="43" t="str">
        <f t="shared" si="4"/>
        <v>-</v>
      </c>
      <c r="F91" s="31" t="str">
        <f t="shared" si="5"/>
        <v>-</v>
      </c>
      <c r="G91" s="32" t="str">
        <f t="shared" si="6"/>
        <v>-</v>
      </c>
      <c r="H91" s="32" t="str" cm="1">
        <f t="array" ref="H91">IF(A91="","-",A91-_xlfn.XLOOKUP($L$3,$E$2:E90,$A$2:A90,,FALSE,-1))</f>
        <v>-</v>
      </c>
      <c r="I91" s="32" t="str">
        <f t="shared" si="7"/>
        <v>-</v>
      </c>
    </row>
    <row r="92" spans="5:9" x14ac:dyDescent="0.25">
      <c r="E92" s="43" t="str">
        <f t="shared" si="4"/>
        <v>-</v>
      </c>
      <c r="F92" s="31" t="str">
        <f t="shared" si="5"/>
        <v>-</v>
      </c>
      <c r="G92" s="32" t="str">
        <f t="shared" si="6"/>
        <v>-</v>
      </c>
      <c r="H92" s="32" t="str" cm="1">
        <f t="array" ref="H92">IF(A92="","-",A92-_xlfn.XLOOKUP($L$3,$E$2:E91,$A$2:A91,,FALSE,-1))</f>
        <v>-</v>
      </c>
      <c r="I92" s="32" t="str">
        <f t="shared" si="7"/>
        <v>-</v>
      </c>
    </row>
    <row r="93" spans="5:9" x14ac:dyDescent="0.25">
      <c r="E93" s="43" t="str">
        <f t="shared" si="4"/>
        <v>-</v>
      </c>
      <c r="F93" s="31" t="str">
        <f t="shared" si="5"/>
        <v>-</v>
      </c>
      <c r="G93" s="32" t="str">
        <f t="shared" si="6"/>
        <v>-</v>
      </c>
      <c r="H93" s="32" t="str" cm="1">
        <f t="array" ref="H93">IF(A93="","-",A93-_xlfn.XLOOKUP($L$3,$E$2:E92,$A$2:A92,,FALSE,-1))</f>
        <v>-</v>
      </c>
      <c r="I93" s="32" t="str">
        <f t="shared" si="7"/>
        <v>-</v>
      </c>
    </row>
    <row r="94" spans="5:9" x14ac:dyDescent="0.25">
      <c r="E94" s="43" t="str">
        <f t="shared" si="4"/>
        <v>-</v>
      </c>
      <c r="F94" s="31" t="str">
        <f t="shared" si="5"/>
        <v>-</v>
      </c>
      <c r="G94" s="32" t="str">
        <f t="shared" si="6"/>
        <v>-</v>
      </c>
      <c r="H94" s="32" t="str" cm="1">
        <f t="array" ref="H94">IF(A94="","-",A94-_xlfn.XLOOKUP($L$3,$E$2:E93,$A$2:A93,,FALSE,-1))</f>
        <v>-</v>
      </c>
      <c r="I94" s="32" t="str">
        <f t="shared" si="7"/>
        <v>-</v>
      </c>
    </row>
    <row r="95" spans="5:9" x14ac:dyDescent="0.25">
      <c r="E95" s="43" t="str">
        <f t="shared" si="4"/>
        <v>-</v>
      </c>
      <c r="F95" s="31" t="str">
        <f t="shared" si="5"/>
        <v>-</v>
      </c>
      <c r="G95" s="32" t="str">
        <f t="shared" si="6"/>
        <v>-</v>
      </c>
      <c r="H95" s="32" t="str" cm="1">
        <f t="array" ref="H95">IF(A95="","-",A95-_xlfn.XLOOKUP($L$3,$E$2:E94,$A$2:A94,,FALSE,-1))</f>
        <v>-</v>
      </c>
      <c r="I95" s="32" t="str">
        <f t="shared" si="7"/>
        <v>-</v>
      </c>
    </row>
    <row r="96" spans="5:9" x14ac:dyDescent="0.25">
      <c r="E96" s="43" t="str">
        <f t="shared" si="4"/>
        <v>-</v>
      </c>
      <c r="F96" s="31" t="str">
        <f t="shared" si="5"/>
        <v>-</v>
      </c>
      <c r="G96" s="32" t="str">
        <f t="shared" si="6"/>
        <v>-</v>
      </c>
      <c r="H96" s="32" t="str" cm="1">
        <f t="array" ref="H96">IF(A96="","-",A96-_xlfn.XLOOKUP($L$3,$E$2:E95,$A$2:A95,,FALSE,-1))</f>
        <v>-</v>
      </c>
      <c r="I96" s="32" t="str">
        <f t="shared" si="7"/>
        <v>-</v>
      </c>
    </row>
    <row r="97" spans="5:9" x14ac:dyDescent="0.25">
      <c r="E97" s="43" t="str">
        <f t="shared" si="4"/>
        <v>-</v>
      </c>
      <c r="F97" s="31" t="str">
        <f t="shared" si="5"/>
        <v>-</v>
      </c>
      <c r="G97" s="32" t="str">
        <f t="shared" si="6"/>
        <v>-</v>
      </c>
      <c r="H97" s="32" t="str" cm="1">
        <f t="array" ref="H97">IF(A97="","-",A97-_xlfn.XLOOKUP($L$3,$E$2:E96,$A$2:A96,,FALSE,-1))</f>
        <v>-</v>
      </c>
      <c r="I97" s="32" t="str">
        <f t="shared" si="7"/>
        <v>-</v>
      </c>
    </row>
    <row r="98" spans="5:9" x14ac:dyDescent="0.25">
      <c r="E98" s="43" t="str">
        <f t="shared" si="4"/>
        <v>-</v>
      </c>
      <c r="F98" s="31" t="str">
        <f t="shared" si="5"/>
        <v>-</v>
      </c>
      <c r="G98" s="32" t="str">
        <f t="shared" si="6"/>
        <v>-</v>
      </c>
      <c r="H98" s="32" t="str" cm="1">
        <f t="array" ref="H98">IF(A98="","-",A98-_xlfn.XLOOKUP($L$3,$E$2:E97,$A$2:A97,,FALSE,-1))</f>
        <v>-</v>
      </c>
      <c r="I98" s="32" t="str">
        <f t="shared" si="7"/>
        <v>-</v>
      </c>
    </row>
    <row r="99" spans="5:9" x14ac:dyDescent="0.25">
      <c r="E99" s="43" t="str">
        <f t="shared" si="4"/>
        <v>-</v>
      </c>
      <c r="F99" s="31" t="str">
        <f t="shared" si="5"/>
        <v>-</v>
      </c>
      <c r="G99" s="32" t="str">
        <f t="shared" si="6"/>
        <v>-</v>
      </c>
      <c r="H99" s="32" t="str" cm="1">
        <f t="array" ref="H99">IF(A99="","-",A99-_xlfn.XLOOKUP($L$3,$E$2:E98,$A$2:A98,,FALSE,-1))</f>
        <v>-</v>
      </c>
      <c r="I99" s="32" t="str">
        <f t="shared" si="7"/>
        <v>-</v>
      </c>
    </row>
    <row r="100" spans="5:9" x14ac:dyDescent="0.25">
      <c r="E100" s="43" t="str">
        <f t="shared" si="4"/>
        <v>-</v>
      </c>
      <c r="F100" s="31" t="str">
        <f t="shared" si="5"/>
        <v>-</v>
      </c>
      <c r="G100" s="32" t="str">
        <f t="shared" si="6"/>
        <v>-</v>
      </c>
      <c r="H100" s="32" t="str" cm="1">
        <f t="array" ref="H100">IF(A100="","-",A100-_xlfn.XLOOKUP($L$3,$E$2:E99,$A$2:A99,,FALSE,-1))</f>
        <v>-</v>
      </c>
      <c r="I100" s="32" t="str">
        <f t="shared" si="7"/>
        <v>-</v>
      </c>
    </row>
    <row r="101" spans="5:9" x14ac:dyDescent="0.25">
      <c r="E101" s="43" t="str">
        <f t="shared" si="4"/>
        <v>-</v>
      </c>
      <c r="F101" s="31" t="str">
        <f t="shared" si="5"/>
        <v>-</v>
      </c>
      <c r="G101" s="32" t="str">
        <f t="shared" si="6"/>
        <v>-</v>
      </c>
      <c r="H101" s="32" t="str" cm="1">
        <f t="array" ref="H101">IF(A101="","-",A101-_xlfn.XLOOKUP($L$3,$E$2:E100,$A$2:A100,,FALSE,-1))</f>
        <v>-</v>
      </c>
      <c r="I101" s="32" t="str">
        <f t="shared" si="7"/>
        <v>-</v>
      </c>
    </row>
    <row r="102" spans="5:9" x14ac:dyDescent="0.25">
      <c r="E102" s="43" t="str">
        <f t="shared" si="4"/>
        <v>-</v>
      </c>
      <c r="F102" s="31" t="str">
        <f t="shared" si="5"/>
        <v>-</v>
      </c>
      <c r="G102" s="32" t="str">
        <f t="shared" si="6"/>
        <v>-</v>
      </c>
      <c r="H102" s="32" t="str" cm="1">
        <f t="array" ref="H102">IF(A102="","-",A102-_xlfn.XLOOKUP($L$3,$E$2:E101,$A$2:A101,,FALSE,-1))</f>
        <v>-</v>
      </c>
      <c r="I102" s="32" t="str">
        <f t="shared" si="7"/>
        <v>-</v>
      </c>
    </row>
    <row r="103" spans="5:9" x14ac:dyDescent="0.25">
      <c r="E103" s="43" t="str">
        <f t="shared" si="4"/>
        <v>-</v>
      </c>
      <c r="F103" s="31" t="str">
        <f t="shared" si="5"/>
        <v>-</v>
      </c>
      <c r="G103" s="32" t="str">
        <f t="shared" si="6"/>
        <v>-</v>
      </c>
      <c r="H103" s="32" t="str" cm="1">
        <f t="array" ref="H103">IF(A103="","-",A103-_xlfn.XLOOKUP($L$3,$E$2:E102,$A$2:A102,,FALSE,-1))</f>
        <v>-</v>
      </c>
      <c r="I103" s="32" t="str">
        <f t="shared" si="7"/>
        <v>-</v>
      </c>
    </row>
    <row r="104" spans="5:9" x14ac:dyDescent="0.25">
      <c r="E104" s="43" t="str">
        <f t="shared" si="4"/>
        <v>-</v>
      </c>
      <c r="F104" s="31" t="str">
        <f t="shared" si="5"/>
        <v>-</v>
      </c>
      <c r="G104" s="32" t="str">
        <f t="shared" si="6"/>
        <v>-</v>
      </c>
      <c r="H104" s="32" t="str" cm="1">
        <f t="array" ref="H104">IF(A104="","-",A104-_xlfn.XLOOKUP($L$3,$E$2:E103,$A$2:A103,,FALSE,-1))</f>
        <v>-</v>
      </c>
      <c r="I104" s="32" t="str">
        <f t="shared" si="7"/>
        <v>-</v>
      </c>
    </row>
    <row r="105" spans="5:9" x14ac:dyDescent="0.25">
      <c r="E105" s="43" t="str">
        <f t="shared" si="4"/>
        <v>-</v>
      </c>
      <c r="F105" s="31" t="str">
        <f t="shared" si="5"/>
        <v>-</v>
      </c>
      <c r="G105" s="32" t="str">
        <f t="shared" si="6"/>
        <v>-</v>
      </c>
      <c r="H105" s="32" t="str" cm="1">
        <f t="array" ref="H105">IF(A105="","-",A105-_xlfn.XLOOKUP($L$3,$E$2:E104,$A$2:A104,,FALSE,-1))</f>
        <v>-</v>
      </c>
      <c r="I105" s="32" t="str">
        <f t="shared" si="7"/>
        <v>-</v>
      </c>
    </row>
    <row r="106" spans="5:9" x14ac:dyDescent="0.25">
      <c r="E106" s="43" t="str">
        <f t="shared" si="4"/>
        <v>-</v>
      </c>
      <c r="F106" s="31" t="str">
        <f t="shared" si="5"/>
        <v>-</v>
      </c>
      <c r="G106" s="32" t="str">
        <f t="shared" si="6"/>
        <v>-</v>
      </c>
      <c r="H106" s="32" t="str" cm="1">
        <f t="array" ref="H106">IF(A106="","-",A106-_xlfn.XLOOKUP($L$3,$E$2:E105,$A$2:A105,,FALSE,-1))</f>
        <v>-</v>
      </c>
      <c r="I106" s="32" t="str">
        <f t="shared" si="7"/>
        <v>-</v>
      </c>
    </row>
    <row r="107" spans="5:9" x14ac:dyDescent="0.25">
      <c r="E107" s="43" t="str">
        <f t="shared" si="4"/>
        <v>-</v>
      </c>
      <c r="F107" s="31" t="str">
        <f t="shared" si="5"/>
        <v>-</v>
      </c>
      <c r="G107" s="32" t="str">
        <f t="shared" si="6"/>
        <v>-</v>
      </c>
      <c r="H107" s="32" t="str" cm="1">
        <f t="array" ref="H107">IF(A107="","-",A107-_xlfn.XLOOKUP($L$3,$E$2:E106,$A$2:A106,,FALSE,-1))</f>
        <v>-</v>
      </c>
      <c r="I107" s="32" t="str">
        <f t="shared" si="7"/>
        <v>-</v>
      </c>
    </row>
    <row r="108" spans="5:9" x14ac:dyDescent="0.25">
      <c r="E108" s="43" t="str">
        <f t="shared" si="4"/>
        <v>-</v>
      </c>
      <c r="F108" s="31" t="str">
        <f t="shared" si="5"/>
        <v>-</v>
      </c>
      <c r="G108" s="32" t="str">
        <f t="shared" si="6"/>
        <v>-</v>
      </c>
      <c r="H108" s="32" t="str" cm="1">
        <f t="array" ref="H108">IF(A108="","-",A108-_xlfn.XLOOKUP($L$3,$E$2:E107,$A$2:A107,,FALSE,-1))</f>
        <v>-</v>
      </c>
      <c r="I108" s="32" t="str">
        <f t="shared" si="7"/>
        <v>-</v>
      </c>
    </row>
    <row r="109" spans="5:9" x14ac:dyDescent="0.25">
      <c r="E109" s="43" t="str">
        <f t="shared" si="4"/>
        <v>-</v>
      </c>
      <c r="F109" s="31" t="str">
        <f t="shared" si="5"/>
        <v>-</v>
      </c>
      <c r="G109" s="32" t="str">
        <f t="shared" si="6"/>
        <v>-</v>
      </c>
      <c r="H109" s="32" t="str" cm="1">
        <f t="array" ref="H109">IF(A109="","-",A109-_xlfn.XLOOKUP($L$3,$E$2:E108,$A$2:A108,,FALSE,-1))</f>
        <v>-</v>
      </c>
      <c r="I109" s="32" t="str">
        <f t="shared" si="7"/>
        <v>-</v>
      </c>
    </row>
    <row r="110" spans="5:9" x14ac:dyDescent="0.25">
      <c r="E110" s="43" t="str">
        <f t="shared" si="4"/>
        <v>-</v>
      </c>
      <c r="F110" s="31" t="str">
        <f t="shared" si="5"/>
        <v>-</v>
      </c>
      <c r="G110" s="32" t="str">
        <f t="shared" si="6"/>
        <v>-</v>
      </c>
      <c r="H110" s="32" t="str" cm="1">
        <f t="array" ref="H110">IF(A110="","-",A110-_xlfn.XLOOKUP($L$3,$E$2:E109,$A$2:A109,,FALSE,-1))</f>
        <v>-</v>
      </c>
      <c r="I110" s="32" t="str">
        <f t="shared" si="7"/>
        <v>-</v>
      </c>
    </row>
    <row r="111" spans="5:9" x14ac:dyDescent="0.25">
      <c r="E111" s="43" t="str">
        <f t="shared" si="4"/>
        <v>-</v>
      </c>
      <c r="F111" s="31" t="str">
        <f t="shared" si="5"/>
        <v>-</v>
      </c>
      <c r="G111" s="32" t="str">
        <f t="shared" si="6"/>
        <v>-</v>
      </c>
      <c r="H111" s="32" t="str" cm="1">
        <f t="array" ref="H111">IF(A111="","-",A111-_xlfn.XLOOKUP($L$3,$E$2:E110,$A$2:A110,,FALSE,-1))</f>
        <v>-</v>
      </c>
      <c r="I111" s="32" t="str">
        <f t="shared" si="7"/>
        <v>-</v>
      </c>
    </row>
    <row r="112" spans="5:9" x14ac:dyDescent="0.25">
      <c r="E112" s="43" t="str">
        <f t="shared" si="4"/>
        <v>-</v>
      </c>
      <c r="F112" s="31" t="str">
        <f t="shared" si="5"/>
        <v>-</v>
      </c>
      <c r="G112" s="32" t="str">
        <f t="shared" si="6"/>
        <v>-</v>
      </c>
      <c r="H112" s="32" t="str" cm="1">
        <f t="array" ref="H112">IF(A112="","-",A112-_xlfn.XLOOKUP($L$3,$E$2:E111,$A$2:A111,,FALSE,-1))</f>
        <v>-</v>
      </c>
      <c r="I112" s="32" t="str">
        <f t="shared" si="7"/>
        <v>-</v>
      </c>
    </row>
    <row r="113" spans="5:9" x14ac:dyDescent="0.25">
      <c r="E113" s="43" t="str">
        <f t="shared" si="4"/>
        <v>-</v>
      </c>
      <c r="F113" s="31" t="str">
        <f t="shared" si="5"/>
        <v>-</v>
      </c>
      <c r="G113" s="32" t="str">
        <f t="shared" si="6"/>
        <v>-</v>
      </c>
      <c r="H113" s="32" t="str" cm="1">
        <f t="array" ref="H113">IF(A113="","-",A113-_xlfn.XLOOKUP($L$3,$E$2:E112,$A$2:A112,,FALSE,-1))</f>
        <v>-</v>
      </c>
      <c r="I113" s="32" t="str">
        <f t="shared" si="7"/>
        <v>-</v>
      </c>
    </row>
    <row r="114" spans="5:9" x14ac:dyDescent="0.25">
      <c r="E114" s="43" t="str">
        <f t="shared" si="4"/>
        <v>-</v>
      </c>
      <c r="F114" s="31" t="str">
        <f t="shared" si="5"/>
        <v>-</v>
      </c>
      <c r="G114" s="32" t="str">
        <f t="shared" si="6"/>
        <v>-</v>
      </c>
      <c r="H114" s="32" t="str" cm="1">
        <f t="array" ref="H114">IF(A114="","-",A114-_xlfn.XLOOKUP($L$3,$E$2:E113,$A$2:A113,,FALSE,-1))</f>
        <v>-</v>
      </c>
      <c r="I114" s="32" t="str">
        <f t="shared" si="7"/>
        <v>-</v>
      </c>
    </row>
    <row r="115" spans="5:9" x14ac:dyDescent="0.25">
      <c r="E115" s="43" t="str">
        <f t="shared" si="4"/>
        <v>-</v>
      </c>
      <c r="F115" s="31" t="str">
        <f t="shared" si="5"/>
        <v>-</v>
      </c>
      <c r="G115" s="32" t="str">
        <f t="shared" si="6"/>
        <v>-</v>
      </c>
      <c r="H115" s="32" t="str" cm="1">
        <f t="array" ref="H115">IF(A115="","-",A115-_xlfn.XLOOKUP($L$3,$E$2:E114,$A$2:A114,,FALSE,-1))</f>
        <v>-</v>
      </c>
      <c r="I115" s="32" t="str">
        <f t="shared" si="7"/>
        <v>-</v>
      </c>
    </row>
    <row r="116" spans="5:9" x14ac:dyDescent="0.25">
      <c r="E116" s="43" t="str">
        <f t="shared" si="4"/>
        <v>-</v>
      </c>
      <c r="F116" s="31" t="str">
        <f t="shared" si="5"/>
        <v>-</v>
      </c>
      <c r="G116" s="32" t="str">
        <f t="shared" si="6"/>
        <v>-</v>
      </c>
      <c r="H116" s="32" t="str" cm="1">
        <f t="array" ref="H116">IF(A116="","-",A116-_xlfn.XLOOKUP($L$3,$E$2:E115,$A$2:A115,,FALSE,-1))</f>
        <v>-</v>
      </c>
      <c r="I116" s="32" t="str">
        <f t="shared" si="7"/>
        <v>-</v>
      </c>
    </row>
    <row r="117" spans="5:9" x14ac:dyDescent="0.25">
      <c r="E117" s="43" t="str">
        <f t="shared" si="4"/>
        <v>-</v>
      </c>
      <c r="F117" s="31" t="str">
        <f t="shared" si="5"/>
        <v>-</v>
      </c>
      <c r="G117" s="32" t="str">
        <f t="shared" si="6"/>
        <v>-</v>
      </c>
      <c r="H117" s="32" t="str" cm="1">
        <f t="array" ref="H117">IF(A117="","-",A117-_xlfn.XLOOKUP($L$3,$E$2:E116,$A$2:A116,,FALSE,-1))</f>
        <v>-</v>
      </c>
      <c r="I117" s="32" t="str">
        <f t="shared" si="7"/>
        <v>-</v>
      </c>
    </row>
    <row r="118" spans="5:9" x14ac:dyDescent="0.25">
      <c r="E118" s="43" t="str">
        <f t="shared" si="4"/>
        <v>-</v>
      </c>
      <c r="F118" s="31" t="str">
        <f t="shared" si="5"/>
        <v>-</v>
      </c>
      <c r="G118" s="32" t="str">
        <f t="shared" si="6"/>
        <v>-</v>
      </c>
      <c r="H118" s="32" t="str" cm="1">
        <f t="array" ref="H118">IF(A118="","-",A118-_xlfn.XLOOKUP($L$3,$E$2:E117,$A$2:A117,,FALSE,-1))</f>
        <v>-</v>
      </c>
      <c r="I118" s="32" t="str">
        <f t="shared" si="7"/>
        <v>-</v>
      </c>
    </row>
    <row r="119" spans="5:9" x14ac:dyDescent="0.25">
      <c r="E119" s="43" t="str">
        <f t="shared" si="4"/>
        <v>-</v>
      </c>
      <c r="F119" s="31" t="str">
        <f t="shared" si="5"/>
        <v>-</v>
      </c>
      <c r="G119" s="32" t="str">
        <f t="shared" si="6"/>
        <v>-</v>
      </c>
      <c r="H119" s="32" t="str" cm="1">
        <f t="array" ref="H119">IF(A119="","-",A119-_xlfn.XLOOKUP($L$3,$E$2:E118,$A$2:A118,,FALSE,-1))</f>
        <v>-</v>
      </c>
      <c r="I119" s="32" t="str">
        <f t="shared" si="7"/>
        <v>-</v>
      </c>
    </row>
    <row r="120" spans="5:9" x14ac:dyDescent="0.25">
      <c r="E120" s="43" t="str">
        <f t="shared" si="4"/>
        <v>-</v>
      </c>
      <c r="F120" s="31" t="str">
        <f t="shared" si="5"/>
        <v>-</v>
      </c>
      <c r="G120" s="32" t="str">
        <f t="shared" si="6"/>
        <v>-</v>
      </c>
      <c r="H120" s="32" t="str" cm="1">
        <f t="array" ref="H120">IF(A120="","-",A120-_xlfn.XLOOKUP($L$3,$E$2:E119,$A$2:A119,,FALSE,-1))</f>
        <v>-</v>
      </c>
      <c r="I120" s="32" t="str">
        <f t="shared" si="7"/>
        <v>-</v>
      </c>
    </row>
    <row r="121" spans="5:9" x14ac:dyDescent="0.25">
      <c r="E121" s="43" t="str">
        <f t="shared" si="4"/>
        <v>-</v>
      </c>
      <c r="F121" s="31" t="str">
        <f t="shared" si="5"/>
        <v>-</v>
      </c>
      <c r="G121" s="32" t="str">
        <f t="shared" si="6"/>
        <v>-</v>
      </c>
      <c r="H121" s="32" t="str" cm="1">
        <f t="array" ref="H121">IF(A121="","-",A121-_xlfn.XLOOKUP($L$3,$E$2:E120,$A$2:A120,,FALSE,-1))</f>
        <v>-</v>
      </c>
      <c r="I121" s="32" t="str">
        <f t="shared" si="7"/>
        <v>-</v>
      </c>
    </row>
    <row r="122" spans="5:9" x14ac:dyDescent="0.25">
      <c r="E122" s="43" t="str">
        <f t="shared" si="4"/>
        <v>-</v>
      </c>
      <c r="F122" s="31" t="str">
        <f t="shared" si="5"/>
        <v>-</v>
      </c>
      <c r="G122" s="32" t="str">
        <f t="shared" si="6"/>
        <v>-</v>
      </c>
      <c r="H122" s="32" t="str" cm="1">
        <f t="array" ref="H122">IF(A122="","-",A122-_xlfn.XLOOKUP($L$3,$E$2:E121,$A$2:A121,,FALSE,-1))</f>
        <v>-</v>
      </c>
      <c r="I122" s="32" t="str">
        <f t="shared" si="7"/>
        <v>-</v>
      </c>
    </row>
    <row r="123" spans="5:9" x14ac:dyDescent="0.25">
      <c r="E123" s="43" t="str">
        <f t="shared" si="4"/>
        <v>-</v>
      </c>
      <c r="F123" s="31" t="str">
        <f t="shared" si="5"/>
        <v>-</v>
      </c>
      <c r="G123" s="32" t="str">
        <f t="shared" si="6"/>
        <v>-</v>
      </c>
      <c r="H123" s="32" t="str" cm="1">
        <f t="array" ref="H123">IF(A123="","-",A123-_xlfn.XLOOKUP($L$3,$E$2:E122,$A$2:A122,,FALSE,-1))</f>
        <v>-</v>
      </c>
      <c r="I123" s="32" t="str">
        <f t="shared" si="7"/>
        <v>-</v>
      </c>
    </row>
    <row r="124" spans="5:9" x14ac:dyDescent="0.25">
      <c r="E124" s="43" t="str">
        <f t="shared" si="4"/>
        <v>-</v>
      </c>
      <c r="F124" s="31" t="str">
        <f t="shared" si="5"/>
        <v>-</v>
      </c>
      <c r="G124" s="32" t="str">
        <f t="shared" si="6"/>
        <v>-</v>
      </c>
      <c r="H124" s="32" t="str" cm="1">
        <f t="array" ref="H124">IF(A124="","-",A124-_xlfn.XLOOKUP($L$3,$E$2:E123,$A$2:A123,,FALSE,-1))</f>
        <v>-</v>
      </c>
      <c r="I124" s="32" t="str">
        <f t="shared" si="7"/>
        <v>-</v>
      </c>
    </row>
    <row r="125" spans="5:9" x14ac:dyDescent="0.25">
      <c r="E125" s="43" t="str">
        <f t="shared" si="4"/>
        <v>-</v>
      </c>
      <c r="F125" s="31" t="str">
        <f t="shared" si="5"/>
        <v>-</v>
      </c>
      <c r="G125" s="32" t="str">
        <f t="shared" si="6"/>
        <v>-</v>
      </c>
      <c r="H125" s="32" t="str" cm="1">
        <f t="array" ref="H125">IF(A125="","-",A125-_xlfn.XLOOKUP($L$3,$E$2:E124,$A$2:A124,,FALSE,-1))</f>
        <v>-</v>
      </c>
      <c r="I125" s="32" t="str">
        <f t="shared" si="7"/>
        <v>-</v>
      </c>
    </row>
    <row r="126" spans="5:9" x14ac:dyDescent="0.25">
      <c r="E126" s="43" t="str">
        <f t="shared" si="4"/>
        <v>-</v>
      </c>
      <c r="F126" s="31" t="str">
        <f t="shared" si="5"/>
        <v>-</v>
      </c>
      <c r="G126" s="32" t="str">
        <f t="shared" si="6"/>
        <v>-</v>
      </c>
      <c r="H126" s="32" t="str" cm="1">
        <f t="array" ref="H126">IF(A126="","-",A126-_xlfn.XLOOKUP($L$3,$E$2:E125,$A$2:A125,,FALSE,-1))</f>
        <v>-</v>
      </c>
      <c r="I126" s="32" t="str">
        <f t="shared" si="7"/>
        <v>-</v>
      </c>
    </row>
    <row r="127" spans="5:9" x14ac:dyDescent="0.25">
      <c r="E127" s="43" t="str">
        <f t="shared" si="4"/>
        <v>-</v>
      </c>
      <c r="F127" s="31" t="str">
        <f t="shared" si="5"/>
        <v>-</v>
      </c>
      <c r="G127" s="32" t="str">
        <f t="shared" si="6"/>
        <v>-</v>
      </c>
      <c r="H127" s="32" t="str" cm="1">
        <f t="array" ref="H127">IF(A127="","-",A127-_xlfn.XLOOKUP($L$3,$E$2:E126,$A$2:A126,,FALSE,-1))</f>
        <v>-</v>
      </c>
      <c r="I127" s="32" t="str">
        <f t="shared" si="7"/>
        <v>-</v>
      </c>
    </row>
    <row r="128" spans="5:9" x14ac:dyDescent="0.25">
      <c r="E128" s="43" t="str">
        <f t="shared" si="4"/>
        <v>-</v>
      </c>
      <c r="F128" s="31" t="str">
        <f t="shared" si="5"/>
        <v>-</v>
      </c>
      <c r="G128" s="32" t="str">
        <f t="shared" si="6"/>
        <v>-</v>
      </c>
      <c r="H128" s="32" t="str" cm="1">
        <f t="array" ref="H128">IF(A128="","-",A128-_xlfn.XLOOKUP($L$3,$E$2:E127,$A$2:A127,,FALSE,-1))</f>
        <v>-</v>
      </c>
      <c r="I128" s="32" t="str">
        <f t="shared" si="7"/>
        <v>-</v>
      </c>
    </row>
    <row r="129" spans="5:9" x14ac:dyDescent="0.25">
      <c r="E129" s="43" t="str">
        <f t="shared" si="4"/>
        <v>-</v>
      </c>
      <c r="F129" s="31" t="str">
        <f t="shared" si="5"/>
        <v>-</v>
      </c>
      <c r="G129" s="32" t="str">
        <f t="shared" si="6"/>
        <v>-</v>
      </c>
      <c r="H129" s="32" t="str" cm="1">
        <f t="array" ref="H129">IF(A129="","-",A129-_xlfn.XLOOKUP($L$3,$E$2:E128,$A$2:A128,,FALSE,-1))</f>
        <v>-</v>
      </c>
      <c r="I129" s="32" t="str">
        <f t="shared" si="7"/>
        <v>-</v>
      </c>
    </row>
    <row r="130" spans="5:9" x14ac:dyDescent="0.25">
      <c r="E130" s="43" t="str">
        <f t="shared" si="4"/>
        <v>-</v>
      </c>
      <c r="F130" s="31" t="str">
        <f t="shared" si="5"/>
        <v>-</v>
      </c>
      <c r="G130" s="32" t="str">
        <f t="shared" si="6"/>
        <v>-</v>
      </c>
      <c r="H130" s="32" t="str" cm="1">
        <f t="array" ref="H130">IF(A130="","-",A130-_xlfn.XLOOKUP($L$3,$E$2:E129,$A$2:A129,,FALSE,-1))</f>
        <v>-</v>
      </c>
      <c r="I130" s="32" t="str">
        <f t="shared" si="7"/>
        <v>-</v>
      </c>
    </row>
    <row r="131" spans="5:9" x14ac:dyDescent="0.25">
      <c r="E131" s="43" t="str">
        <f t="shared" ref="E131:E194" si="8">IF(A131="","-",VLOOKUP(C131,$L$3:$O$8,2,FALSE))</f>
        <v>-</v>
      </c>
      <c r="F131" s="31" t="str">
        <f t="shared" ref="F131:F194" si="9">IF(A131="","-",IF(OR(C131=$L$10,C131=$L$11,C131=$L$12),MID(SUBSTITUTE(D131,".",","),1,FIND("(",SUBSTITUTE(D131,".",","))-1)*1,D131))</f>
        <v>-</v>
      </c>
      <c r="G131" s="32" t="str">
        <f t="shared" ref="G131:G194" si="10">IF(A131="","-",A131-A130)</f>
        <v>-</v>
      </c>
      <c r="H131" s="32" t="str" cm="1">
        <f t="array" ref="H131">IF(A131="","-",A131-_xlfn.XLOOKUP($L$3,$E$2:E130,$A$2:A130,,FALSE,-1))</f>
        <v>-</v>
      </c>
      <c r="I131" s="32" t="str">
        <f t="shared" ref="I131:I194" si="11">IF(A131="","-",A131-0.00173611111111116)</f>
        <v>-</v>
      </c>
    </row>
    <row r="132" spans="5:9" x14ac:dyDescent="0.25">
      <c r="E132" s="43" t="str">
        <f t="shared" si="8"/>
        <v>-</v>
      </c>
      <c r="F132" s="31" t="str">
        <f t="shared" si="9"/>
        <v>-</v>
      </c>
      <c r="G132" s="32" t="str">
        <f t="shared" si="10"/>
        <v>-</v>
      </c>
      <c r="H132" s="32" t="str" cm="1">
        <f t="array" ref="H132">IF(A132="","-",A132-_xlfn.XLOOKUP($L$3,$E$2:E131,$A$2:A131,,FALSE,-1))</f>
        <v>-</v>
      </c>
      <c r="I132" s="32" t="str">
        <f t="shared" si="11"/>
        <v>-</v>
      </c>
    </row>
    <row r="133" spans="5:9" x14ac:dyDescent="0.25">
      <c r="E133" s="43" t="str">
        <f t="shared" si="8"/>
        <v>-</v>
      </c>
      <c r="F133" s="31" t="str">
        <f t="shared" si="9"/>
        <v>-</v>
      </c>
      <c r="G133" s="32" t="str">
        <f t="shared" si="10"/>
        <v>-</v>
      </c>
      <c r="H133" s="32" t="str" cm="1">
        <f t="array" ref="H133">IF(A133="","-",A133-_xlfn.XLOOKUP($L$3,$E$2:E132,$A$2:A132,,FALSE,-1))</f>
        <v>-</v>
      </c>
      <c r="I133" s="32" t="str">
        <f t="shared" si="11"/>
        <v>-</v>
      </c>
    </row>
    <row r="134" spans="5:9" x14ac:dyDescent="0.25">
      <c r="E134" s="43" t="str">
        <f t="shared" si="8"/>
        <v>-</v>
      </c>
      <c r="F134" s="31" t="str">
        <f t="shared" si="9"/>
        <v>-</v>
      </c>
      <c r="G134" s="32" t="str">
        <f t="shared" si="10"/>
        <v>-</v>
      </c>
      <c r="H134" s="32" t="str" cm="1">
        <f t="array" ref="H134">IF(A134="","-",A134-_xlfn.XLOOKUP($L$3,$E$2:E133,$A$2:A133,,FALSE,-1))</f>
        <v>-</v>
      </c>
      <c r="I134" s="32" t="str">
        <f t="shared" si="11"/>
        <v>-</v>
      </c>
    </row>
    <row r="135" spans="5:9" x14ac:dyDescent="0.25">
      <c r="E135" s="43" t="str">
        <f t="shared" si="8"/>
        <v>-</v>
      </c>
      <c r="F135" s="31" t="str">
        <f t="shared" si="9"/>
        <v>-</v>
      </c>
      <c r="G135" s="32" t="str">
        <f t="shared" si="10"/>
        <v>-</v>
      </c>
      <c r="H135" s="32" t="str" cm="1">
        <f t="array" ref="H135">IF(A135="","-",A135-_xlfn.XLOOKUP($L$3,$E$2:E134,$A$2:A134,,FALSE,-1))</f>
        <v>-</v>
      </c>
      <c r="I135" s="32" t="str">
        <f t="shared" si="11"/>
        <v>-</v>
      </c>
    </row>
    <row r="136" spans="5:9" x14ac:dyDescent="0.25">
      <c r="E136" s="43" t="str">
        <f t="shared" si="8"/>
        <v>-</v>
      </c>
      <c r="F136" s="31" t="str">
        <f t="shared" si="9"/>
        <v>-</v>
      </c>
      <c r="G136" s="32" t="str">
        <f t="shared" si="10"/>
        <v>-</v>
      </c>
      <c r="H136" s="32" t="str" cm="1">
        <f t="array" ref="H136">IF(A136="","-",A136-_xlfn.XLOOKUP($L$3,$E$2:E135,$A$2:A135,,FALSE,-1))</f>
        <v>-</v>
      </c>
      <c r="I136" s="32" t="str">
        <f t="shared" si="11"/>
        <v>-</v>
      </c>
    </row>
    <row r="137" spans="5:9" x14ac:dyDescent="0.25">
      <c r="E137" s="43" t="str">
        <f t="shared" si="8"/>
        <v>-</v>
      </c>
      <c r="F137" s="31" t="str">
        <f t="shared" si="9"/>
        <v>-</v>
      </c>
      <c r="G137" s="32" t="str">
        <f t="shared" si="10"/>
        <v>-</v>
      </c>
      <c r="H137" s="32" t="str" cm="1">
        <f t="array" ref="H137">IF(A137="","-",A137-_xlfn.XLOOKUP($L$3,$E$2:E136,$A$2:A136,,FALSE,-1))</f>
        <v>-</v>
      </c>
      <c r="I137" s="32" t="str">
        <f t="shared" si="11"/>
        <v>-</v>
      </c>
    </row>
    <row r="138" spans="5:9" x14ac:dyDescent="0.25">
      <c r="E138" s="43" t="str">
        <f t="shared" si="8"/>
        <v>-</v>
      </c>
      <c r="F138" s="31" t="str">
        <f t="shared" si="9"/>
        <v>-</v>
      </c>
      <c r="G138" s="32" t="str">
        <f t="shared" si="10"/>
        <v>-</v>
      </c>
      <c r="H138" s="32" t="str" cm="1">
        <f t="array" ref="H138">IF(A138="","-",A138-_xlfn.XLOOKUP($L$3,$E$2:E137,$A$2:A137,,FALSE,-1))</f>
        <v>-</v>
      </c>
      <c r="I138" s="32" t="str">
        <f t="shared" si="11"/>
        <v>-</v>
      </c>
    </row>
    <row r="139" spans="5:9" x14ac:dyDescent="0.25">
      <c r="E139" s="43" t="str">
        <f t="shared" si="8"/>
        <v>-</v>
      </c>
      <c r="F139" s="31" t="str">
        <f t="shared" si="9"/>
        <v>-</v>
      </c>
      <c r="G139" s="32" t="str">
        <f t="shared" si="10"/>
        <v>-</v>
      </c>
      <c r="H139" s="32" t="str" cm="1">
        <f t="array" ref="H139">IF(A139="","-",A139-_xlfn.XLOOKUP($L$3,$E$2:E138,$A$2:A138,,FALSE,-1))</f>
        <v>-</v>
      </c>
      <c r="I139" s="32" t="str">
        <f t="shared" si="11"/>
        <v>-</v>
      </c>
    </row>
    <row r="140" spans="5:9" x14ac:dyDescent="0.25">
      <c r="E140" s="43" t="str">
        <f t="shared" si="8"/>
        <v>-</v>
      </c>
      <c r="F140" s="31" t="str">
        <f t="shared" si="9"/>
        <v>-</v>
      </c>
      <c r="G140" s="32" t="str">
        <f t="shared" si="10"/>
        <v>-</v>
      </c>
      <c r="H140" s="32" t="str" cm="1">
        <f t="array" ref="H140">IF(A140="","-",A140-_xlfn.XLOOKUP($L$3,$E$2:E139,$A$2:A139,,FALSE,-1))</f>
        <v>-</v>
      </c>
      <c r="I140" s="32" t="str">
        <f t="shared" si="11"/>
        <v>-</v>
      </c>
    </row>
    <row r="141" spans="5:9" x14ac:dyDescent="0.25">
      <c r="E141" s="43" t="str">
        <f t="shared" si="8"/>
        <v>-</v>
      </c>
      <c r="F141" s="31" t="str">
        <f t="shared" si="9"/>
        <v>-</v>
      </c>
      <c r="G141" s="32" t="str">
        <f t="shared" si="10"/>
        <v>-</v>
      </c>
      <c r="H141" s="32" t="str" cm="1">
        <f t="array" ref="H141">IF(A141="","-",A141-_xlfn.XLOOKUP($L$3,$E$2:E140,$A$2:A140,,FALSE,-1))</f>
        <v>-</v>
      </c>
      <c r="I141" s="32" t="str">
        <f t="shared" si="11"/>
        <v>-</v>
      </c>
    </row>
    <row r="142" spans="5:9" x14ac:dyDescent="0.25">
      <c r="E142" s="43" t="str">
        <f t="shared" si="8"/>
        <v>-</v>
      </c>
      <c r="F142" s="31" t="str">
        <f t="shared" si="9"/>
        <v>-</v>
      </c>
      <c r="G142" s="32" t="str">
        <f t="shared" si="10"/>
        <v>-</v>
      </c>
      <c r="H142" s="32" t="str" cm="1">
        <f t="array" ref="H142">IF(A142="","-",A142-_xlfn.XLOOKUP($L$3,$E$2:E141,$A$2:A141,,FALSE,-1))</f>
        <v>-</v>
      </c>
      <c r="I142" s="32" t="str">
        <f t="shared" si="11"/>
        <v>-</v>
      </c>
    </row>
    <row r="143" spans="5:9" x14ac:dyDescent="0.25">
      <c r="E143" s="43" t="str">
        <f t="shared" si="8"/>
        <v>-</v>
      </c>
      <c r="F143" s="31" t="str">
        <f t="shared" si="9"/>
        <v>-</v>
      </c>
      <c r="G143" s="32" t="str">
        <f t="shared" si="10"/>
        <v>-</v>
      </c>
      <c r="H143" s="32" t="str" cm="1">
        <f t="array" ref="H143">IF(A143="","-",A143-_xlfn.XLOOKUP($L$3,$E$2:E142,$A$2:A142,,FALSE,-1))</f>
        <v>-</v>
      </c>
      <c r="I143" s="32" t="str">
        <f t="shared" si="11"/>
        <v>-</v>
      </c>
    </row>
    <row r="144" spans="5:9" x14ac:dyDescent="0.25">
      <c r="E144" s="43" t="str">
        <f t="shared" si="8"/>
        <v>-</v>
      </c>
      <c r="F144" s="31" t="str">
        <f t="shared" si="9"/>
        <v>-</v>
      </c>
      <c r="G144" s="32" t="str">
        <f t="shared" si="10"/>
        <v>-</v>
      </c>
      <c r="H144" s="32" t="str" cm="1">
        <f t="array" ref="H144">IF(A144="","-",A144-_xlfn.XLOOKUP($L$3,$E$2:E143,$A$2:A143,,FALSE,-1))</f>
        <v>-</v>
      </c>
      <c r="I144" s="32" t="str">
        <f t="shared" si="11"/>
        <v>-</v>
      </c>
    </row>
    <row r="145" spans="5:9" x14ac:dyDescent="0.25">
      <c r="E145" s="43" t="str">
        <f t="shared" si="8"/>
        <v>-</v>
      </c>
      <c r="F145" s="31" t="str">
        <f t="shared" si="9"/>
        <v>-</v>
      </c>
      <c r="G145" s="32" t="str">
        <f t="shared" si="10"/>
        <v>-</v>
      </c>
      <c r="H145" s="32" t="str" cm="1">
        <f t="array" ref="H145">IF(A145="","-",A145-_xlfn.XLOOKUP($L$3,$E$2:E144,$A$2:A144,,FALSE,-1))</f>
        <v>-</v>
      </c>
      <c r="I145" s="32" t="str">
        <f t="shared" si="11"/>
        <v>-</v>
      </c>
    </row>
    <row r="146" spans="5:9" x14ac:dyDescent="0.25">
      <c r="E146" s="43" t="str">
        <f t="shared" si="8"/>
        <v>-</v>
      </c>
      <c r="F146" s="31" t="str">
        <f t="shared" si="9"/>
        <v>-</v>
      </c>
      <c r="G146" s="32" t="str">
        <f t="shared" si="10"/>
        <v>-</v>
      </c>
      <c r="H146" s="32" t="str" cm="1">
        <f t="array" ref="H146">IF(A146="","-",A146-_xlfn.XLOOKUP($L$3,$E$2:E145,$A$2:A145,,FALSE,-1))</f>
        <v>-</v>
      </c>
      <c r="I146" s="32" t="str">
        <f t="shared" si="11"/>
        <v>-</v>
      </c>
    </row>
    <row r="147" spans="5:9" x14ac:dyDescent="0.25">
      <c r="E147" s="43" t="str">
        <f t="shared" si="8"/>
        <v>-</v>
      </c>
      <c r="F147" s="31" t="str">
        <f t="shared" si="9"/>
        <v>-</v>
      </c>
      <c r="G147" s="32" t="str">
        <f t="shared" si="10"/>
        <v>-</v>
      </c>
      <c r="H147" s="32" t="str" cm="1">
        <f t="array" ref="H147">IF(A147="","-",A147-_xlfn.XLOOKUP($L$3,$E$2:E146,$A$2:A146,,FALSE,-1))</f>
        <v>-</v>
      </c>
      <c r="I147" s="32" t="str">
        <f t="shared" si="11"/>
        <v>-</v>
      </c>
    </row>
    <row r="148" spans="5:9" x14ac:dyDescent="0.25">
      <c r="E148" s="43" t="str">
        <f t="shared" si="8"/>
        <v>-</v>
      </c>
      <c r="F148" s="31" t="str">
        <f t="shared" si="9"/>
        <v>-</v>
      </c>
      <c r="G148" s="32" t="str">
        <f t="shared" si="10"/>
        <v>-</v>
      </c>
      <c r="H148" s="32" t="str" cm="1">
        <f t="array" ref="H148">IF(A148="","-",A148-_xlfn.XLOOKUP($L$3,$E$2:E147,$A$2:A147,,FALSE,-1))</f>
        <v>-</v>
      </c>
      <c r="I148" s="32" t="str">
        <f t="shared" si="11"/>
        <v>-</v>
      </c>
    </row>
    <row r="149" spans="5:9" x14ac:dyDescent="0.25">
      <c r="E149" s="43" t="str">
        <f t="shared" si="8"/>
        <v>-</v>
      </c>
      <c r="F149" s="31" t="str">
        <f t="shared" si="9"/>
        <v>-</v>
      </c>
      <c r="G149" s="32" t="str">
        <f t="shared" si="10"/>
        <v>-</v>
      </c>
      <c r="H149" s="32" t="str" cm="1">
        <f t="array" ref="H149">IF(A149="","-",A149-_xlfn.XLOOKUP($L$3,$E$2:E148,$A$2:A148,,FALSE,-1))</f>
        <v>-</v>
      </c>
      <c r="I149" s="32" t="str">
        <f t="shared" si="11"/>
        <v>-</v>
      </c>
    </row>
    <row r="150" spans="5:9" x14ac:dyDescent="0.25">
      <c r="E150" s="43" t="str">
        <f t="shared" si="8"/>
        <v>-</v>
      </c>
      <c r="F150" s="31" t="str">
        <f t="shared" si="9"/>
        <v>-</v>
      </c>
      <c r="G150" s="32" t="str">
        <f t="shared" si="10"/>
        <v>-</v>
      </c>
      <c r="H150" s="32" t="str" cm="1">
        <f t="array" ref="H150">IF(A150="","-",A150-_xlfn.XLOOKUP($L$3,$E$2:E149,$A$2:A149,,FALSE,-1))</f>
        <v>-</v>
      </c>
      <c r="I150" s="32" t="str">
        <f t="shared" si="11"/>
        <v>-</v>
      </c>
    </row>
    <row r="151" spans="5:9" x14ac:dyDescent="0.25">
      <c r="E151" s="43" t="str">
        <f t="shared" si="8"/>
        <v>-</v>
      </c>
      <c r="F151" s="31" t="str">
        <f t="shared" si="9"/>
        <v>-</v>
      </c>
      <c r="G151" s="32" t="str">
        <f t="shared" si="10"/>
        <v>-</v>
      </c>
      <c r="H151" s="32" t="str" cm="1">
        <f t="array" ref="H151">IF(A151="","-",A151-_xlfn.XLOOKUP($L$3,$E$2:E150,$A$2:A150,,FALSE,-1))</f>
        <v>-</v>
      </c>
      <c r="I151" s="32" t="str">
        <f t="shared" si="11"/>
        <v>-</v>
      </c>
    </row>
    <row r="152" spans="5:9" x14ac:dyDescent="0.25">
      <c r="E152" s="43" t="str">
        <f t="shared" si="8"/>
        <v>-</v>
      </c>
      <c r="F152" s="31" t="str">
        <f t="shared" si="9"/>
        <v>-</v>
      </c>
      <c r="G152" s="32" t="str">
        <f t="shared" si="10"/>
        <v>-</v>
      </c>
      <c r="H152" s="32" t="str" cm="1">
        <f t="array" ref="H152">IF(A152="","-",A152-_xlfn.XLOOKUP($L$3,$E$2:E151,$A$2:A151,,FALSE,-1))</f>
        <v>-</v>
      </c>
      <c r="I152" s="32" t="str">
        <f t="shared" si="11"/>
        <v>-</v>
      </c>
    </row>
    <row r="153" spans="5:9" x14ac:dyDescent="0.25">
      <c r="E153" s="43" t="str">
        <f t="shared" si="8"/>
        <v>-</v>
      </c>
      <c r="F153" s="31" t="str">
        <f t="shared" si="9"/>
        <v>-</v>
      </c>
      <c r="G153" s="32" t="str">
        <f t="shared" si="10"/>
        <v>-</v>
      </c>
      <c r="H153" s="32" t="str" cm="1">
        <f t="array" ref="H153">IF(A153="","-",A153-_xlfn.XLOOKUP($L$3,$E$2:E152,$A$2:A152,,FALSE,-1))</f>
        <v>-</v>
      </c>
      <c r="I153" s="32" t="str">
        <f t="shared" si="11"/>
        <v>-</v>
      </c>
    </row>
    <row r="154" spans="5:9" x14ac:dyDescent="0.25">
      <c r="E154" s="43" t="str">
        <f t="shared" si="8"/>
        <v>-</v>
      </c>
      <c r="F154" s="31" t="str">
        <f t="shared" si="9"/>
        <v>-</v>
      </c>
      <c r="G154" s="32" t="str">
        <f t="shared" si="10"/>
        <v>-</v>
      </c>
      <c r="H154" s="32" t="str" cm="1">
        <f t="array" ref="H154">IF(A154="","-",A154-_xlfn.XLOOKUP($L$3,$E$2:E153,$A$2:A153,,FALSE,-1))</f>
        <v>-</v>
      </c>
      <c r="I154" s="32" t="str">
        <f t="shared" si="11"/>
        <v>-</v>
      </c>
    </row>
    <row r="155" spans="5:9" x14ac:dyDescent="0.25">
      <c r="E155" s="43" t="str">
        <f t="shared" si="8"/>
        <v>-</v>
      </c>
      <c r="F155" s="31" t="str">
        <f t="shared" si="9"/>
        <v>-</v>
      </c>
      <c r="G155" s="32" t="str">
        <f t="shared" si="10"/>
        <v>-</v>
      </c>
      <c r="H155" s="32" t="str" cm="1">
        <f t="array" ref="H155">IF(A155="","-",A155-_xlfn.XLOOKUP($L$3,$E$2:E154,$A$2:A154,,FALSE,-1))</f>
        <v>-</v>
      </c>
      <c r="I155" s="32" t="str">
        <f t="shared" si="11"/>
        <v>-</v>
      </c>
    </row>
    <row r="156" spans="5:9" x14ac:dyDescent="0.25">
      <c r="E156" s="43" t="str">
        <f t="shared" si="8"/>
        <v>-</v>
      </c>
      <c r="F156" s="31" t="str">
        <f t="shared" si="9"/>
        <v>-</v>
      </c>
      <c r="G156" s="32" t="str">
        <f t="shared" si="10"/>
        <v>-</v>
      </c>
      <c r="H156" s="32" t="str" cm="1">
        <f t="array" ref="H156">IF(A156="","-",A156-_xlfn.XLOOKUP($L$3,$E$2:E155,$A$2:A155,,FALSE,-1))</f>
        <v>-</v>
      </c>
      <c r="I156" s="32" t="str">
        <f t="shared" si="11"/>
        <v>-</v>
      </c>
    </row>
    <row r="157" spans="5:9" x14ac:dyDescent="0.25">
      <c r="E157" s="43" t="str">
        <f t="shared" si="8"/>
        <v>-</v>
      </c>
      <c r="F157" s="31" t="str">
        <f t="shared" si="9"/>
        <v>-</v>
      </c>
      <c r="G157" s="32" t="str">
        <f t="shared" si="10"/>
        <v>-</v>
      </c>
      <c r="H157" s="32" t="str" cm="1">
        <f t="array" ref="H157">IF(A157="","-",A157-_xlfn.XLOOKUP($L$3,$E$2:E156,$A$2:A156,,FALSE,-1))</f>
        <v>-</v>
      </c>
      <c r="I157" s="32" t="str">
        <f t="shared" si="11"/>
        <v>-</v>
      </c>
    </row>
    <row r="158" spans="5:9" x14ac:dyDescent="0.25">
      <c r="E158" s="43" t="str">
        <f t="shared" si="8"/>
        <v>-</v>
      </c>
      <c r="F158" s="31" t="str">
        <f t="shared" si="9"/>
        <v>-</v>
      </c>
      <c r="G158" s="32" t="str">
        <f t="shared" si="10"/>
        <v>-</v>
      </c>
      <c r="H158" s="32" t="str" cm="1">
        <f t="array" ref="H158">IF(A158="","-",A158-_xlfn.XLOOKUP($L$3,$E$2:E157,$A$2:A157,,FALSE,-1))</f>
        <v>-</v>
      </c>
      <c r="I158" s="32" t="str">
        <f t="shared" si="11"/>
        <v>-</v>
      </c>
    </row>
    <row r="159" spans="5:9" x14ac:dyDescent="0.25">
      <c r="E159" s="43" t="str">
        <f t="shared" si="8"/>
        <v>-</v>
      </c>
      <c r="F159" s="31" t="str">
        <f t="shared" si="9"/>
        <v>-</v>
      </c>
      <c r="G159" s="32" t="str">
        <f t="shared" si="10"/>
        <v>-</v>
      </c>
      <c r="H159" s="32" t="str" cm="1">
        <f t="array" ref="H159">IF(A159="","-",A159-_xlfn.XLOOKUP($L$3,$E$2:E158,$A$2:A158,,FALSE,-1))</f>
        <v>-</v>
      </c>
      <c r="I159" s="32" t="str">
        <f t="shared" si="11"/>
        <v>-</v>
      </c>
    </row>
    <row r="160" spans="5:9" x14ac:dyDescent="0.25">
      <c r="E160" s="43" t="str">
        <f t="shared" si="8"/>
        <v>-</v>
      </c>
      <c r="F160" s="31" t="str">
        <f t="shared" si="9"/>
        <v>-</v>
      </c>
      <c r="G160" s="32" t="str">
        <f t="shared" si="10"/>
        <v>-</v>
      </c>
      <c r="H160" s="32" t="str" cm="1">
        <f t="array" ref="H160">IF(A160="","-",A160-_xlfn.XLOOKUP($L$3,$E$2:E159,$A$2:A159,,FALSE,-1))</f>
        <v>-</v>
      </c>
      <c r="I160" s="32" t="str">
        <f t="shared" si="11"/>
        <v>-</v>
      </c>
    </row>
    <row r="161" spans="5:9" x14ac:dyDescent="0.25">
      <c r="E161" s="43" t="str">
        <f t="shared" si="8"/>
        <v>-</v>
      </c>
      <c r="F161" s="31" t="str">
        <f t="shared" si="9"/>
        <v>-</v>
      </c>
      <c r="G161" s="32" t="str">
        <f t="shared" si="10"/>
        <v>-</v>
      </c>
      <c r="H161" s="32" t="str" cm="1">
        <f t="array" ref="H161">IF(A161="","-",A161-_xlfn.XLOOKUP($L$3,$E$2:E160,$A$2:A160,,FALSE,-1))</f>
        <v>-</v>
      </c>
      <c r="I161" s="32" t="str">
        <f t="shared" si="11"/>
        <v>-</v>
      </c>
    </row>
    <row r="162" spans="5:9" x14ac:dyDescent="0.25">
      <c r="E162" s="43" t="str">
        <f t="shared" si="8"/>
        <v>-</v>
      </c>
      <c r="F162" s="31" t="str">
        <f t="shared" si="9"/>
        <v>-</v>
      </c>
      <c r="G162" s="32" t="str">
        <f t="shared" si="10"/>
        <v>-</v>
      </c>
      <c r="H162" s="32" t="str" cm="1">
        <f t="array" ref="H162">IF(A162="","-",A162-_xlfn.XLOOKUP($L$3,$E$2:E161,$A$2:A161,,FALSE,-1))</f>
        <v>-</v>
      </c>
      <c r="I162" s="32" t="str">
        <f t="shared" si="11"/>
        <v>-</v>
      </c>
    </row>
    <row r="163" spans="5:9" x14ac:dyDescent="0.25">
      <c r="E163" s="43" t="str">
        <f t="shared" si="8"/>
        <v>-</v>
      </c>
      <c r="F163" s="31" t="str">
        <f t="shared" si="9"/>
        <v>-</v>
      </c>
      <c r="G163" s="32" t="str">
        <f t="shared" si="10"/>
        <v>-</v>
      </c>
      <c r="H163" s="32" t="str" cm="1">
        <f t="array" ref="H163">IF(A163="","-",A163-_xlfn.XLOOKUP($L$3,$E$2:E162,$A$2:A162,,FALSE,-1))</f>
        <v>-</v>
      </c>
      <c r="I163" s="32" t="str">
        <f t="shared" si="11"/>
        <v>-</v>
      </c>
    </row>
    <row r="164" spans="5:9" x14ac:dyDescent="0.25">
      <c r="E164" s="43" t="str">
        <f t="shared" si="8"/>
        <v>-</v>
      </c>
      <c r="F164" s="31" t="str">
        <f t="shared" si="9"/>
        <v>-</v>
      </c>
      <c r="G164" s="32" t="str">
        <f t="shared" si="10"/>
        <v>-</v>
      </c>
      <c r="H164" s="32" t="str" cm="1">
        <f t="array" ref="H164">IF(A164="","-",A164-_xlfn.XLOOKUP($L$3,$E$2:E163,$A$2:A163,,FALSE,-1))</f>
        <v>-</v>
      </c>
      <c r="I164" s="32" t="str">
        <f t="shared" si="11"/>
        <v>-</v>
      </c>
    </row>
    <row r="165" spans="5:9" x14ac:dyDescent="0.25">
      <c r="E165" s="43" t="str">
        <f t="shared" si="8"/>
        <v>-</v>
      </c>
      <c r="F165" s="31" t="str">
        <f t="shared" si="9"/>
        <v>-</v>
      </c>
      <c r="G165" s="32" t="str">
        <f t="shared" si="10"/>
        <v>-</v>
      </c>
      <c r="H165" s="32" t="str" cm="1">
        <f t="array" ref="H165">IF(A165="","-",A165-_xlfn.XLOOKUP($L$3,$E$2:E164,$A$2:A164,,FALSE,-1))</f>
        <v>-</v>
      </c>
      <c r="I165" s="32" t="str">
        <f t="shared" si="11"/>
        <v>-</v>
      </c>
    </row>
    <row r="166" spans="5:9" x14ac:dyDescent="0.25">
      <c r="E166" s="43" t="str">
        <f t="shared" si="8"/>
        <v>-</v>
      </c>
      <c r="F166" s="31" t="str">
        <f t="shared" si="9"/>
        <v>-</v>
      </c>
      <c r="G166" s="32" t="str">
        <f t="shared" si="10"/>
        <v>-</v>
      </c>
      <c r="H166" s="32" t="str" cm="1">
        <f t="array" ref="H166">IF(A166="","-",A166-_xlfn.XLOOKUP($L$3,$E$2:E165,$A$2:A165,,FALSE,-1))</f>
        <v>-</v>
      </c>
      <c r="I166" s="32" t="str">
        <f t="shared" si="11"/>
        <v>-</v>
      </c>
    </row>
    <row r="167" spans="5:9" x14ac:dyDescent="0.25">
      <c r="E167" s="43" t="str">
        <f t="shared" si="8"/>
        <v>-</v>
      </c>
      <c r="F167" s="31" t="str">
        <f t="shared" si="9"/>
        <v>-</v>
      </c>
      <c r="G167" s="32" t="str">
        <f t="shared" si="10"/>
        <v>-</v>
      </c>
      <c r="H167" s="32" t="str" cm="1">
        <f t="array" ref="H167">IF(A167="","-",A167-_xlfn.XLOOKUP($L$3,$E$2:E166,$A$2:A166,,FALSE,-1))</f>
        <v>-</v>
      </c>
      <c r="I167" s="32" t="str">
        <f t="shared" si="11"/>
        <v>-</v>
      </c>
    </row>
    <row r="168" spans="5:9" x14ac:dyDescent="0.25">
      <c r="E168" s="43" t="str">
        <f t="shared" si="8"/>
        <v>-</v>
      </c>
      <c r="F168" s="31" t="str">
        <f t="shared" si="9"/>
        <v>-</v>
      </c>
      <c r="G168" s="32" t="str">
        <f t="shared" si="10"/>
        <v>-</v>
      </c>
      <c r="H168" s="32" t="str" cm="1">
        <f t="array" ref="H168">IF(A168="","-",A168-_xlfn.XLOOKUP($L$3,$E$2:E167,$A$2:A167,,FALSE,-1))</f>
        <v>-</v>
      </c>
      <c r="I168" s="32" t="str">
        <f t="shared" si="11"/>
        <v>-</v>
      </c>
    </row>
    <row r="169" spans="5:9" x14ac:dyDescent="0.25">
      <c r="E169" s="43" t="str">
        <f t="shared" si="8"/>
        <v>-</v>
      </c>
      <c r="F169" s="31" t="str">
        <f t="shared" si="9"/>
        <v>-</v>
      </c>
      <c r="G169" s="32" t="str">
        <f t="shared" si="10"/>
        <v>-</v>
      </c>
      <c r="H169" s="32" t="str" cm="1">
        <f t="array" ref="H169">IF(A169="","-",A169-_xlfn.XLOOKUP($L$3,$E$2:E168,$A$2:A168,,FALSE,-1))</f>
        <v>-</v>
      </c>
      <c r="I169" s="32" t="str">
        <f t="shared" si="11"/>
        <v>-</v>
      </c>
    </row>
    <row r="170" spans="5:9" x14ac:dyDescent="0.25">
      <c r="E170" s="43" t="str">
        <f t="shared" si="8"/>
        <v>-</v>
      </c>
      <c r="F170" s="31" t="str">
        <f t="shared" si="9"/>
        <v>-</v>
      </c>
      <c r="G170" s="32" t="str">
        <f t="shared" si="10"/>
        <v>-</v>
      </c>
      <c r="H170" s="32" t="str" cm="1">
        <f t="array" ref="H170">IF(A170="","-",A170-_xlfn.XLOOKUP($L$3,$E$2:E169,$A$2:A169,,FALSE,-1))</f>
        <v>-</v>
      </c>
      <c r="I170" s="32" t="str">
        <f t="shared" si="11"/>
        <v>-</v>
      </c>
    </row>
    <row r="171" spans="5:9" x14ac:dyDescent="0.25">
      <c r="E171" s="43" t="str">
        <f t="shared" si="8"/>
        <v>-</v>
      </c>
      <c r="F171" s="31" t="str">
        <f t="shared" si="9"/>
        <v>-</v>
      </c>
      <c r="G171" s="32" t="str">
        <f t="shared" si="10"/>
        <v>-</v>
      </c>
      <c r="H171" s="32" t="str" cm="1">
        <f t="array" ref="H171">IF(A171="","-",A171-_xlfn.XLOOKUP($L$3,$E$2:E170,$A$2:A170,,FALSE,-1))</f>
        <v>-</v>
      </c>
      <c r="I171" s="32" t="str">
        <f t="shared" si="11"/>
        <v>-</v>
      </c>
    </row>
    <row r="172" spans="5:9" x14ac:dyDescent="0.25">
      <c r="E172" s="43" t="str">
        <f t="shared" si="8"/>
        <v>-</v>
      </c>
      <c r="F172" s="31" t="str">
        <f t="shared" si="9"/>
        <v>-</v>
      </c>
      <c r="G172" s="32" t="str">
        <f t="shared" si="10"/>
        <v>-</v>
      </c>
      <c r="H172" s="32" t="str" cm="1">
        <f t="array" ref="H172">IF(A172="","-",A172-_xlfn.XLOOKUP($L$3,$E$2:E171,$A$2:A171,,FALSE,-1))</f>
        <v>-</v>
      </c>
      <c r="I172" s="32" t="str">
        <f t="shared" si="11"/>
        <v>-</v>
      </c>
    </row>
    <row r="173" spans="5:9" x14ac:dyDescent="0.25">
      <c r="E173" s="43" t="str">
        <f t="shared" si="8"/>
        <v>-</v>
      </c>
      <c r="F173" s="31" t="str">
        <f t="shared" si="9"/>
        <v>-</v>
      </c>
      <c r="G173" s="32" t="str">
        <f t="shared" si="10"/>
        <v>-</v>
      </c>
      <c r="H173" s="32" t="str" cm="1">
        <f t="array" ref="H173">IF(A173="","-",A173-_xlfn.XLOOKUP($L$3,$E$2:E172,$A$2:A172,,FALSE,-1))</f>
        <v>-</v>
      </c>
      <c r="I173" s="32" t="str">
        <f t="shared" si="11"/>
        <v>-</v>
      </c>
    </row>
    <row r="174" spans="5:9" x14ac:dyDescent="0.25">
      <c r="E174" s="43" t="str">
        <f t="shared" si="8"/>
        <v>-</v>
      </c>
      <c r="F174" s="31" t="str">
        <f t="shared" si="9"/>
        <v>-</v>
      </c>
      <c r="G174" s="32" t="str">
        <f t="shared" si="10"/>
        <v>-</v>
      </c>
      <c r="H174" s="32" t="str" cm="1">
        <f t="array" ref="H174">IF(A174="","-",A174-_xlfn.XLOOKUP($L$3,$E$2:E173,$A$2:A173,,FALSE,-1))</f>
        <v>-</v>
      </c>
      <c r="I174" s="32" t="str">
        <f t="shared" si="11"/>
        <v>-</v>
      </c>
    </row>
    <row r="175" spans="5:9" x14ac:dyDescent="0.25">
      <c r="E175" s="43" t="str">
        <f t="shared" si="8"/>
        <v>-</v>
      </c>
      <c r="F175" s="31" t="str">
        <f t="shared" si="9"/>
        <v>-</v>
      </c>
      <c r="G175" s="32" t="str">
        <f t="shared" si="10"/>
        <v>-</v>
      </c>
      <c r="H175" s="32" t="str" cm="1">
        <f t="array" ref="H175">IF(A175="","-",A175-_xlfn.XLOOKUP($L$3,$E$2:E174,$A$2:A174,,FALSE,-1))</f>
        <v>-</v>
      </c>
      <c r="I175" s="32" t="str">
        <f t="shared" si="11"/>
        <v>-</v>
      </c>
    </row>
    <row r="176" spans="5:9" x14ac:dyDescent="0.25">
      <c r="E176" s="43" t="str">
        <f t="shared" si="8"/>
        <v>-</v>
      </c>
      <c r="F176" s="31" t="str">
        <f t="shared" si="9"/>
        <v>-</v>
      </c>
      <c r="G176" s="32" t="str">
        <f t="shared" si="10"/>
        <v>-</v>
      </c>
      <c r="H176" s="32" t="str" cm="1">
        <f t="array" ref="H176">IF(A176="","-",A176-_xlfn.XLOOKUP($L$3,$E$2:E175,$A$2:A175,,FALSE,-1))</f>
        <v>-</v>
      </c>
      <c r="I176" s="32" t="str">
        <f t="shared" si="11"/>
        <v>-</v>
      </c>
    </row>
    <row r="177" spans="5:9" x14ac:dyDescent="0.25">
      <c r="E177" s="43" t="str">
        <f t="shared" si="8"/>
        <v>-</v>
      </c>
      <c r="F177" s="31" t="str">
        <f t="shared" si="9"/>
        <v>-</v>
      </c>
      <c r="G177" s="32" t="str">
        <f t="shared" si="10"/>
        <v>-</v>
      </c>
      <c r="H177" s="32" t="str" cm="1">
        <f t="array" ref="H177">IF(A177="","-",A177-_xlfn.XLOOKUP($L$3,$E$2:E176,$A$2:A176,,FALSE,-1))</f>
        <v>-</v>
      </c>
      <c r="I177" s="32" t="str">
        <f t="shared" si="11"/>
        <v>-</v>
      </c>
    </row>
    <row r="178" spans="5:9" x14ac:dyDescent="0.25">
      <c r="E178" s="43" t="str">
        <f t="shared" si="8"/>
        <v>-</v>
      </c>
      <c r="F178" s="31" t="str">
        <f t="shared" si="9"/>
        <v>-</v>
      </c>
      <c r="G178" s="32" t="str">
        <f t="shared" si="10"/>
        <v>-</v>
      </c>
      <c r="H178" s="32" t="str" cm="1">
        <f t="array" ref="H178">IF(A178="","-",A178-_xlfn.XLOOKUP($L$3,$E$2:E177,$A$2:A177,,FALSE,-1))</f>
        <v>-</v>
      </c>
      <c r="I178" s="32" t="str">
        <f t="shared" si="11"/>
        <v>-</v>
      </c>
    </row>
    <row r="179" spans="5:9" x14ac:dyDescent="0.25">
      <c r="E179" s="43" t="str">
        <f t="shared" si="8"/>
        <v>-</v>
      </c>
      <c r="F179" s="31" t="str">
        <f t="shared" si="9"/>
        <v>-</v>
      </c>
      <c r="G179" s="32" t="str">
        <f t="shared" si="10"/>
        <v>-</v>
      </c>
      <c r="H179" s="32" t="str" cm="1">
        <f t="array" ref="H179">IF(A179="","-",A179-_xlfn.XLOOKUP($L$3,$E$2:E178,$A$2:A178,,FALSE,-1))</f>
        <v>-</v>
      </c>
      <c r="I179" s="32" t="str">
        <f t="shared" si="11"/>
        <v>-</v>
      </c>
    </row>
    <row r="180" spans="5:9" x14ac:dyDescent="0.25">
      <c r="E180" s="43" t="str">
        <f t="shared" si="8"/>
        <v>-</v>
      </c>
      <c r="F180" s="31" t="str">
        <f t="shared" si="9"/>
        <v>-</v>
      </c>
      <c r="G180" s="32" t="str">
        <f t="shared" si="10"/>
        <v>-</v>
      </c>
      <c r="H180" s="32" t="str" cm="1">
        <f t="array" ref="H180">IF(A180="","-",A180-_xlfn.XLOOKUP($L$3,$E$2:E179,$A$2:A179,,FALSE,-1))</f>
        <v>-</v>
      </c>
      <c r="I180" s="32" t="str">
        <f t="shared" si="11"/>
        <v>-</v>
      </c>
    </row>
    <row r="181" spans="5:9" x14ac:dyDescent="0.25">
      <c r="E181" s="43" t="str">
        <f t="shared" si="8"/>
        <v>-</v>
      </c>
      <c r="F181" s="31" t="str">
        <f t="shared" si="9"/>
        <v>-</v>
      </c>
      <c r="G181" s="32" t="str">
        <f t="shared" si="10"/>
        <v>-</v>
      </c>
      <c r="H181" s="32" t="str" cm="1">
        <f t="array" ref="H181">IF(A181="","-",A181-_xlfn.XLOOKUP($L$3,$E$2:E180,$A$2:A180,,FALSE,-1))</f>
        <v>-</v>
      </c>
      <c r="I181" s="32" t="str">
        <f t="shared" si="11"/>
        <v>-</v>
      </c>
    </row>
    <row r="182" spans="5:9" x14ac:dyDescent="0.25">
      <c r="E182" s="43" t="str">
        <f t="shared" si="8"/>
        <v>-</v>
      </c>
      <c r="F182" s="31" t="str">
        <f t="shared" si="9"/>
        <v>-</v>
      </c>
      <c r="G182" s="32" t="str">
        <f t="shared" si="10"/>
        <v>-</v>
      </c>
      <c r="H182" s="32" t="str" cm="1">
        <f t="array" ref="H182">IF(A182="","-",A182-_xlfn.XLOOKUP($L$3,$E$2:E181,$A$2:A181,,FALSE,-1))</f>
        <v>-</v>
      </c>
      <c r="I182" s="32" t="str">
        <f t="shared" si="11"/>
        <v>-</v>
      </c>
    </row>
    <row r="183" spans="5:9" x14ac:dyDescent="0.25">
      <c r="E183" s="43" t="str">
        <f t="shared" si="8"/>
        <v>-</v>
      </c>
      <c r="F183" s="31" t="str">
        <f t="shared" si="9"/>
        <v>-</v>
      </c>
      <c r="G183" s="32" t="str">
        <f t="shared" si="10"/>
        <v>-</v>
      </c>
      <c r="H183" s="32" t="str" cm="1">
        <f t="array" ref="H183">IF(A183="","-",A183-_xlfn.XLOOKUP($L$3,$E$2:E182,$A$2:A182,,FALSE,-1))</f>
        <v>-</v>
      </c>
      <c r="I183" s="32" t="str">
        <f t="shared" si="11"/>
        <v>-</v>
      </c>
    </row>
    <row r="184" spans="5:9" x14ac:dyDescent="0.25">
      <c r="E184" s="43" t="str">
        <f t="shared" si="8"/>
        <v>-</v>
      </c>
      <c r="F184" s="31" t="str">
        <f t="shared" si="9"/>
        <v>-</v>
      </c>
      <c r="G184" s="32" t="str">
        <f t="shared" si="10"/>
        <v>-</v>
      </c>
      <c r="H184" s="32" t="str" cm="1">
        <f t="array" ref="H184">IF(A184="","-",A184-_xlfn.XLOOKUP($L$3,$E$2:E183,$A$2:A183,,FALSE,-1))</f>
        <v>-</v>
      </c>
      <c r="I184" s="32" t="str">
        <f t="shared" si="11"/>
        <v>-</v>
      </c>
    </row>
    <row r="185" spans="5:9" x14ac:dyDescent="0.25">
      <c r="E185" s="43" t="str">
        <f t="shared" si="8"/>
        <v>-</v>
      </c>
      <c r="F185" s="31" t="str">
        <f t="shared" si="9"/>
        <v>-</v>
      </c>
      <c r="G185" s="32" t="str">
        <f t="shared" si="10"/>
        <v>-</v>
      </c>
      <c r="H185" s="32" t="str" cm="1">
        <f t="array" ref="H185">IF(A185="","-",A185-_xlfn.XLOOKUP($L$3,$E$2:E184,$A$2:A184,,FALSE,-1))</f>
        <v>-</v>
      </c>
      <c r="I185" s="32" t="str">
        <f t="shared" si="11"/>
        <v>-</v>
      </c>
    </row>
    <row r="186" spans="5:9" x14ac:dyDescent="0.25">
      <c r="E186" s="43" t="str">
        <f t="shared" si="8"/>
        <v>-</v>
      </c>
      <c r="F186" s="31" t="str">
        <f t="shared" si="9"/>
        <v>-</v>
      </c>
      <c r="G186" s="32" t="str">
        <f t="shared" si="10"/>
        <v>-</v>
      </c>
      <c r="H186" s="32" t="str" cm="1">
        <f t="array" ref="H186">IF(A186="","-",A186-_xlfn.XLOOKUP($L$3,$E$2:E185,$A$2:A185,,FALSE,-1))</f>
        <v>-</v>
      </c>
      <c r="I186" s="32" t="str">
        <f t="shared" si="11"/>
        <v>-</v>
      </c>
    </row>
    <row r="187" spans="5:9" x14ac:dyDescent="0.25">
      <c r="E187" s="43" t="str">
        <f t="shared" si="8"/>
        <v>-</v>
      </c>
      <c r="F187" s="31" t="str">
        <f t="shared" si="9"/>
        <v>-</v>
      </c>
      <c r="G187" s="32" t="str">
        <f t="shared" si="10"/>
        <v>-</v>
      </c>
      <c r="H187" s="32" t="str" cm="1">
        <f t="array" ref="H187">IF(A187="","-",A187-_xlfn.XLOOKUP($L$3,$E$2:E186,$A$2:A186,,FALSE,-1))</f>
        <v>-</v>
      </c>
      <c r="I187" s="32" t="str">
        <f t="shared" si="11"/>
        <v>-</v>
      </c>
    </row>
    <row r="188" spans="5:9" x14ac:dyDescent="0.25">
      <c r="E188" s="43" t="str">
        <f t="shared" si="8"/>
        <v>-</v>
      </c>
      <c r="F188" s="31" t="str">
        <f t="shared" si="9"/>
        <v>-</v>
      </c>
      <c r="G188" s="32" t="str">
        <f t="shared" si="10"/>
        <v>-</v>
      </c>
      <c r="H188" s="32" t="str" cm="1">
        <f t="array" ref="H188">IF(A188="","-",A188-_xlfn.XLOOKUP($L$3,$E$2:E187,$A$2:A187,,FALSE,-1))</f>
        <v>-</v>
      </c>
      <c r="I188" s="32" t="str">
        <f t="shared" si="11"/>
        <v>-</v>
      </c>
    </row>
    <row r="189" spans="5:9" x14ac:dyDescent="0.25">
      <c r="E189" s="43" t="str">
        <f t="shared" si="8"/>
        <v>-</v>
      </c>
      <c r="F189" s="31" t="str">
        <f t="shared" si="9"/>
        <v>-</v>
      </c>
      <c r="G189" s="32" t="str">
        <f t="shared" si="10"/>
        <v>-</v>
      </c>
      <c r="H189" s="32" t="str" cm="1">
        <f t="array" ref="H189">IF(A189="","-",A189-_xlfn.XLOOKUP($L$3,$E$2:E188,$A$2:A188,,FALSE,-1))</f>
        <v>-</v>
      </c>
      <c r="I189" s="32" t="str">
        <f t="shared" si="11"/>
        <v>-</v>
      </c>
    </row>
    <row r="190" spans="5:9" x14ac:dyDescent="0.25">
      <c r="E190" s="43" t="str">
        <f t="shared" si="8"/>
        <v>-</v>
      </c>
      <c r="F190" s="31" t="str">
        <f t="shared" si="9"/>
        <v>-</v>
      </c>
      <c r="G190" s="32" t="str">
        <f t="shared" si="10"/>
        <v>-</v>
      </c>
      <c r="H190" s="32" t="str" cm="1">
        <f t="array" ref="H190">IF(A190="","-",A190-_xlfn.XLOOKUP($L$3,$E$2:E189,$A$2:A189,,FALSE,-1))</f>
        <v>-</v>
      </c>
      <c r="I190" s="32" t="str">
        <f t="shared" si="11"/>
        <v>-</v>
      </c>
    </row>
    <row r="191" spans="5:9" x14ac:dyDescent="0.25">
      <c r="E191" s="43" t="str">
        <f t="shared" si="8"/>
        <v>-</v>
      </c>
      <c r="F191" s="31" t="str">
        <f t="shared" si="9"/>
        <v>-</v>
      </c>
      <c r="G191" s="32" t="str">
        <f t="shared" si="10"/>
        <v>-</v>
      </c>
      <c r="H191" s="32" t="str" cm="1">
        <f t="array" ref="H191">IF(A191="","-",A191-_xlfn.XLOOKUP($L$3,$E$2:E190,$A$2:A190,,FALSE,-1))</f>
        <v>-</v>
      </c>
      <c r="I191" s="32" t="str">
        <f t="shared" si="11"/>
        <v>-</v>
      </c>
    </row>
    <row r="192" spans="5:9" x14ac:dyDescent="0.25">
      <c r="E192" s="43" t="str">
        <f t="shared" si="8"/>
        <v>-</v>
      </c>
      <c r="F192" s="31" t="str">
        <f t="shared" si="9"/>
        <v>-</v>
      </c>
      <c r="G192" s="32" t="str">
        <f t="shared" si="10"/>
        <v>-</v>
      </c>
      <c r="H192" s="32" t="str" cm="1">
        <f t="array" ref="H192">IF(A192="","-",A192-_xlfn.XLOOKUP($L$3,$E$2:E191,$A$2:A191,,FALSE,-1))</f>
        <v>-</v>
      </c>
      <c r="I192" s="32" t="str">
        <f t="shared" si="11"/>
        <v>-</v>
      </c>
    </row>
    <row r="193" spans="5:9" x14ac:dyDescent="0.25">
      <c r="E193" s="43" t="str">
        <f t="shared" si="8"/>
        <v>-</v>
      </c>
      <c r="F193" s="31" t="str">
        <f t="shared" si="9"/>
        <v>-</v>
      </c>
      <c r="G193" s="32" t="str">
        <f t="shared" si="10"/>
        <v>-</v>
      </c>
      <c r="H193" s="32" t="str" cm="1">
        <f t="array" ref="H193">IF(A193="","-",A193-_xlfn.XLOOKUP($L$3,$E$2:E192,$A$2:A192,,FALSE,-1))</f>
        <v>-</v>
      </c>
      <c r="I193" s="32" t="str">
        <f t="shared" si="11"/>
        <v>-</v>
      </c>
    </row>
    <row r="194" spans="5:9" x14ac:dyDescent="0.25">
      <c r="E194" s="43" t="str">
        <f t="shared" si="8"/>
        <v>-</v>
      </c>
      <c r="F194" s="31" t="str">
        <f t="shared" si="9"/>
        <v>-</v>
      </c>
      <c r="G194" s="32" t="str">
        <f t="shared" si="10"/>
        <v>-</v>
      </c>
      <c r="H194" s="32" t="str" cm="1">
        <f t="array" ref="H194">IF(A194="","-",A194-_xlfn.XLOOKUP($L$3,$E$2:E193,$A$2:A193,,FALSE,-1))</f>
        <v>-</v>
      </c>
      <c r="I194" s="32" t="str">
        <f t="shared" si="11"/>
        <v>-</v>
      </c>
    </row>
    <row r="195" spans="5:9" x14ac:dyDescent="0.25">
      <c r="E195" s="43" t="str">
        <f t="shared" ref="E195:E258" si="12">IF(A195="","-",VLOOKUP(C195,$L$3:$O$8,2,FALSE))</f>
        <v>-</v>
      </c>
      <c r="F195" s="31" t="str">
        <f t="shared" ref="F195:F258" si="13">IF(A195="","-",IF(OR(C195=$L$10,C195=$L$11,C195=$L$12),MID(SUBSTITUTE(D195,".",","),1,FIND("(",SUBSTITUTE(D195,".",","))-1)*1,D195))</f>
        <v>-</v>
      </c>
      <c r="G195" s="32" t="str">
        <f t="shared" ref="G195:G258" si="14">IF(A195="","-",A195-A194)</f>
        <v>-</v>
      </c>
      <c r="H195" s="32" t="str" cm="1">
        <f t="array" ref="H195">IF(A195="","-",A195-_xlfn.XLOOKUP($L$3,$E$2:E194,$A$2:A194,,FALSE,-1))</f>
        <v>-</v>
      </c>
      <c r="I195" s="32" t="str">
        <f t="shared" ref="I195:I258" si="15">IF(A195="","-",A195-0.00173611111111116)</f>
        <v>-</v>
      </c>
    </row>
    <row r="196" spans="5:9" x14ac:dyDescent="0.25">
      <c r="E196" s="43" t="str">
        <f t="shared" si="12"/>
        <v>-</v>
      </c>
      <c r="F196" s="31" t="str">
        <f t="shared" si="13"/>
        <v>-</v>
      </c>
      <c r="G196" s="32" t="str">
        <f t="shared" si="14"/>
        <v>-</v>
      </c>
      <c r="H196" s="32" t="str" cm="1">
        <f t="array" ref="H196">IF(A196="","-",A196-_xlfn.XLOOKUP($L$3,$E$2:E195,$A$2:A195,,FALSE,-1))</f>
        <v>-</v>
      </c>
      <c r="I196" s="32" t="str">
        <f t="shared" si="15"/>
        <v>-</v>
      </c>
    </row>
    <row r="197" spans="5:9" x14ac:dyDescent="0.25">
      <c r="E197" s="43" t="str">
        <f t="shared" si="12"/>
        <v>-</v>
      </c>
      <c r="F197" s="31" t="str">
        <f t="shared" si="13"/>
        <v>-</v>
      </c>
      <c r="G197" s="32" t="str">
        <f t="shared" si="14"/>
        <v>-</v>
      </c>
      <c r="H197" s="32" t="str" cm="1">
        <f t="array" ref="H197">IF(A197="","-",A197-_xlfn.XLOOKUP($L$3,$E$2:E196,$A$2:A196,,FALSE,-1))</f>
        <v>-</v>
      </c>
      <c r="I197" s="32" t="str">
        <f t="shared" si="15"/>
        <v>-</v>
      </c>
    </row>
    <row r="198" spans="5:9" x14ac:dyDescent="0.25">
      <c r="E198" s="43" t="str">
        <f t="shared" si="12"/>
        <v>-</v>
      </c>
      <c r="F198" s="31" t="str">
        <f t="shared" si="13"/>
        <v>-</v>
      </c>
      <c r="G198" s="32" t="str">
        <f t="shared" si="14"/>
        <v>-</v>
      </c>
      <c r="H198" s="32" t="str" cm="1">
        <f t="array" ref="H198">IF(A198="","-",A198-_xlfn.XLOOKUP($L$3,$E$2:E197,$A$2:A197,,FALSE,-1))</f>
        <v>-</v>
      </c>
      <c r="I198" s="32" t="str">
        <f t="shared" si="15"/>
        <v>-</v>
      </c>
    </row>
    <row r="199" spans="5:9" x14ac:dyDescent="0.25">
      <c r="E199" s="43" t="str">
        <f t="shared" si="12"/>
        <v>-</v>
      </c>
      <c r="F199" s="31" t="str">
        <f t="shared" si="13"/>
        <v>-</v>
      </c>
      <c r="G199" s="32" t="str">
        <f t="shared" si="14"/>
        <v>-</v>
      </c>
      <c r="H199" s="32" t="str" cm="1">
        <f t="array" ref="H199">IF(A199="","-",A199-_xlfn.XLOOKUP($L$3,$E$2:E198,$A$2:A198,,FALSE,-1))</f>
        <v>-</v>
      </c>
      <c r="I199" s="32" t="str">
        <f t="shared" si="15"/>
        <v>-</v>
      </c>
    </row>
    <row r="200" spans="5:9" x14ac:dyDescent="0.25">
      <c r="E200" s="43" t="str">
        <f t="shared" si="12"/>
        <v>-</v>
      </c>
      <c r="F200" s="31" t="str">
        <f t="shared" si="13"/>
        <v>-</v>
      </c>
      <c r="G200" s="32" t="str">
        <f t="shared" si="14"/>
        <v>-</v>
      </c>
      <c r="H200" s="32" t="str" cm="1">
        <f t="array" ref="H200">IF(A200="","-",A200-_xlfn.XLOOKUP($L$3,$E$2:E199,$A$2:A199,,FALSE,-1))</f>
        <v>-</v>
      </c>
      <c r="I200" s="32" t="str">
        <f t="shared" si="15"/>
        <v>-</v>
      </c>
    </row>
    <row r="201" spans="5:9" x14ac:dyDescent="0.25">
      <c r="E201" s="43" t="str">
        <f t="shared" si="12"/>
        <v>-</v>
      </c>
      <c r="F201" s="31" t="str">
        <f t="shared" si="13"/>
        <v>-</v>
      </c>
      <c r="G201" s="32" t="str">
        <f t="shared" si="14"/>
        <v>-</v>
      </c>
      <c r="H201" s="32" t="str" cm="1">
        <f t="array" ref="H201">IF(A201="","-",A201-_xlfn.XLOOKUP($L$3,$E$2:E200,$A$2:A200,,FALSE,-1))</f>
        <v>-</v>
      </c>
      <c r="I201" s="32" t="str">
        <f t="shared" si="15"/>
        <v>-</v>
      </c>
    </row>
    <row r="202" spans="5:9" x14ac:dyDescent="0.25">
      <c r="E202" s="43" t="str">
        <f t="shared" si="12"/>
        <v>-</v>
      </c>
      <c r="F202" s="31" t="str">
        <f t="shared" si="13"/>
        <v>-</v>
      </c>
      <c r="G202" s="32" t="str">
        <f t="shared" si="14"/>
        <v>-</v>
      </c>
      <c r="H202" s="32" t="str" cm="1">
        <f t="array" ref="H202">IF(A202="","-",A202-_xlfn.XLOOKUP($L$3,$E$2:E201,$A$2:A201,,FALSE,-1))</f>
        <v>-</v>
      </c>
      <c r="I202" s="32" t="str">
        <f t="shared" si="15"/>
        <v>-</v>
      </c>
    </row>
    <row r="203" spans="5:9" x14ac:dyDescent="0.25">
      <c r="E203" s="43" t="str">
        <f t="shared" si="12"/>
        <v>-</v>
      </c>
      <c r="F203" s="31" t="str">
        <f t="shared" si="13"/>
        <v>-</v>
      </c>
      <c r="G203" s="32" t="str">
        <f t="shared" si="14"/>
        <v>-</v>
      </c>
      <c r="H203" s="32" t="str" cm="1">
        <f t="array" ref="H203">IF(A203="","-",A203-_xlfn.XLOOKUP($L$3,$E$2:E202,$A$2:A202,,FALSE,-1))</f>
        <v>-</v>
      </c>
      <c r="I203" s="32" t="str">
        <f t="shared" si="15"/>
        <v>-</v>
      </c>
    </row>
    <row r="204" spans="5:9" x14ac:dyDescent="0.25">
      <c r="E204" s="43" t="str">
        <f t="shared" si="12"/>
        <v>-</v>
      </c>
      <c r="F204" s="31" t="str">
        <f t="shared" si="13"/>
        <v>-</v>
      </c>
      <c r="G204" s="32" t="str">
        <f t="shared" si="14"/>
        <v>-</v>
      </c>
      <c r="H204" s="32" t="str" cm="1">
        <f t="array" ref="H204">IF(A204="","-",A204-_xlfn.XLOOKUP($L$3,$E$2:E203,$A$2:A203,,FALSE,-1))</f>
        <v>-</v>
      </c>
      <c r="I204" s="32" t="str">
        <f t="shared" si="15"/>
        <v>-</v>
      </c>
    </row>
    <row r="205" spans="5:9" x14ac:dyDescent="0.25">
      <c r="E205" s="43" t="str">
        <f t="shared" si="12"/>
        <v>-</v>
      </c>
      <c r="F205" s="31" t="str">
        <f t="shared" si="13"/>
        <v>-</v>
      </c>
      <c r="G205" s="32" t="str">
        <f t="shared" si="14"/>
        <v>-</v>
      </c>
      <c r="H205" s="32" t="str" cm="1">
        <f t="array" ref="H205">IF(A205="","-",A205-_xlfn.XLOOKUP($L$3,$E$2:E204,$A$2:A204,,FALSE,-1))</f>
        <v>-</v>
      </c>
      <c r="I205" s="32" t="str">
        <f t="shared" si="15"/>
        <v>-</v>
      </c>
    </row>
    <row r="206" spans="5:9" x14ac:dyDescent="0.25">
      <c r="E206" s="43" t="str">
        <f t="shared" si="12"/>
        <v>-</v>
      </c>
      <c r="F206" s="31" t="str">
        <f t="shared" si="13"/>
        <v>-</v>
      </c>
      <c r="G206" s="32" t="str">
        <f t="shared" si="14"/>
        <v>-</v>
      </c>
      <c r="H206" s="32" t="str" cm="1">
        <f t="array" ref="H206">IF(A206="","-",A206-_xlfn.XLOOKUP($L$3,$E$2:E205,$A$2:A205,,FALSE,-1))</f>
        <v>-</v>
      </c>
      <c r="I206" s="32" t="str">
        <f t="shared" si="15"/>
        <v>-</v>
      </c>
    </row>
    <row r="207" spans="5:9" x14ac:dyDescent="0.25">
      <c r="E207" s="43" t="str">
        <f t="shared" si="12"/>
        <v>-</v>
      </c>
      <c r="F207" s="31" t="str">
        <f t="shared" si="13"/>
        <v>-</v>
      </c>
      <c r="G207" s="32" t="str">
        <f t="shared" si="14"/>
        <v>-</v>
      </c>
      <c r="H207" s="32" t="str" cm="1">
        <f t="array" ref="H207">IF(A207="","-",A207-_xlfn.XLOOKUP($L$3,$E$2:E206,$A$2:A206,,FALSE,-1))</f>
        <v>-</v>
      </c>
      <c r="I207" s="32" t="str">
        <f t="shared" si="15"/>
        <v>-</v>
      </c>
    </row>
    <row r="208" spans="5:9" x14ac:dyDescent="0.25">
      <c r="E208" s="43" t="str">
        <f t="shared" si="12"/>
        <v>-</v>
      </c>
      <c r="F208" s="31" t="str">
        <f t="shared" si="13"/>
        <v>-</v>
      </c>
      <c r="G208" s="32" t="str">
        <f t="shared" si="14"/>
        <v>-</v>
      </c>
      <c r="H208" s="32" t="str" cm="1">
        <f t="array" ref="H208">IF(A208="","-",A208-_xlfn.XLOOKUP($L$3,$E$2:E207,$A$2:A207,,FALSE,-1))</f>
        <v>-</v>
      </c>
      <c r="I208" s="32" t="str">
        <f t="shared" si="15"/>
        <v>-</v>
      </c>
    </row>
    <row r="209" spans="5:9" x14ac:dyDescent="0.25">
      <c r="E209" s="43" t="str">
        <f t="shared" si="12"/>
        <v>-</v>
      </c>
      <c r="F209" s="31" t="str">
        <f t="shared" si="13"/>
        <v>-</v>
      </c>
      <c r="G209" s="32" t="str">
        <f t="shared" si="14"/>
        <v>-</v>
      </c>
      <c r="H209" s="32" t="str" cm="1">
        <f t="array" ref="H209">IF(A209="","-",A209-_xlfn.XLOOKUP($L$3,$E$2:E208,$A$2:A208,,FALSE,-1))</f>
        <v>-</v>
      </c>
      <c r="I209" s="32" t="str">
        <f t="shared" si="15"/>
        <v>-</v>
      </c>
    </row>
    <row r="210" spans="5:9" x14ac:dyDescent="0.25">
      <c r="E210" s="43" t="str">
        <f t="shared" si="12"/>
        <v>-</v>
      </c>
      <c r="F210" s="31" t="str">
        <f t="shared" si="13"/>
        <v>-</v>
      </c>
      <c r="G210" s="32" t="str">
        <f t="shared" si="14"/>
        <v>-</v>
      </c>
      <c r="H210" s="32" t="str" cm="1">
        <f t="array" ref="H210">IF(A210="","-",A210-_xlfn.XLOOKUP($L$3,$E$2:E209,$A$2:A209,,FALSE,-1))</f>
        <v>-</v>
      </c>
      <c r="I210" s="32" t="str">
        <f t="shared" si="15"/>
        <v>-</v>
      </c>
    </row>
    <row r="211" spans="5:9" x14ac:dyDescent="0.25">
      <c r="E211" s="43" t="str">
        <f t="shared" si="12"/>
        <v>-</v>
      </c>
      <c r="F211" s="31" t="str">
        <f t="shared" si="13"/>
        <v>-</v>
      </c>
      <c r="G211" s="32" t="str">
        <f t="shared" si="14"/>
        <v>-</v>
      </c>
      <c r="H211" s="32" t="str" cm="1">
        <f t="array" ref="H211">IF(A211="","-",A211-_xlfn.XLOOKUP($L$3,$E$2:E210,$A$2:A210,,FALSE,-1))</f>
        <v>-</v>
      </c>
      <c r="I211" s="32" t="str">
        <f t="shared" si="15"/>
        <v>-</v>
      </c>
    </row>
    <row r="212" spans="5:9" x14ac:dyDescent="0.25">
      <c r="E212" s="43" t="str">
        <f t="shared" si="12"/>
        <v>-</v>
      </c>
      <c r="F212" s="31" t="str">
        <f t="shared" si="13"/>
        <v>-</v>
      </c>
      <c r="G212" s="32" t="str">
        <f t="shared" si="14"/>
        <v>-</v>
      </c>
      <c r="H212" s="32" t="str" cm="1">
        <f t="array" ref="H212">IF(A212="","-",A212-_xlfn.XLOOKUP($L$3,$E$2:E211,$A$2:A211,,FALSE,-1))</f>
        <v>-</v>
      </c>
      <c r="I212" s="32" t="str">
        <f t="shared" si="15"/>
        <v>-</v>
      </c>
    </row>
    <row r="213" spans="5:9" x14ac:dyDescent="0.25">
      <c r="E213" s="43" t="str">
        <f t="shared" si="12"/>
        <v>-</v>
      </c>
      <c r="F213" s="31" t="str">
        <f t="shared" si="13"/>
        <v>-</v>
      </c>
      <c r="G213" s="32" t="str">
        <f t="shared" si="14"/>
        <v>-</v>
      </c>
      <c r="H213" s="32" t="str" cm="1">
        <f t="array" ref="H213">IF(A213="","-",A213-_xlfn.XLOOKUP($L$3,$E$2:E212,$A$2:A212,,FALSE,-1))</f>
        <v>-</v>
      </c>
      <c r="I213" s="32" t="str">
        <f t="shared" si="15"/>
        <v>-</v>
      </c>
    </row>
    <row r="214" spans="5:9" x14ac:dyDescent="0.25">
      <c r="E214" s="43" t="str">
        <f t="shared" si="12"/>
        <v>-</v>
      </c>
      <c r="F214" s="31" t="str">
        <f t="shared" si="13"/>
        <v>-</v>
      </c>
      <c r="G214" s="32" t="str">
        <f t="shared" si="14"/>
        <v>-</v>
      </c>
      <c r="H214" s="32" t="str" cm="1">
        <f t="array" ref="H214">IF(A214="","-",A214-_xlfn.XLOOKUP($L$3,$E$2:E213,$A$2:A213,,FALSE,-1))</f>
        <v>-</v>
      </c>
      <c r="I214" s="32" t="str">
        <f t="shared" si="15"/>
        <v>-</v>
      </c>
    </row>
    <row r="215" spans="5:9" x14ac:dyDescent="0.25">
      <c r="E215" s="43" t="str">
        <f t="shared" si="12"/>
        <v>-</v>
      </c>
      <c r="F215" s="31" t="str">
        <f t="shared" si="13"/>
        <v>-</v>
      </c>
      <c r="G215" s="32" t="str">
        <f t="shared" si="14"/>
        <v>-</v>
      </c>
      <c r="H215" s="32" t="str" cm="1">
        <f t="array" ref="H215">IF(A215="","-",A215-_xlfn.XLOOKUP($L$3,$E$2:E214,$A$2:A214,,FALSE,-1))</f>
        <v>-</v>
      </c>
      <c r="I215" s="32" t="str">
        <f t="shared" si="15"/>
        <v>-</v>
      </c>
    </row>
    <row r="216" spans="5:9" x14ac:dyDescent="0.25">
      <c r="E216" s="43" t="str">
        <f t="shared" si="12"/>
        <v>-</v>
      </c>
      <c r="F216" s="31" t="str">
        <f t="shared" si="13"/>
        <v>-</v>
      </c>
      <c r="G216" s="32" t="str">
        <f t="shared" si="14"/>
        <v>-</v>
      </c>
      <c r="H216" s="32" t="str" cm="1">
        <f t="array" ref="H216">IF(A216="","-",A216-_xlfn.XLOOKUP($L$3,$E$2:E215,$A$2:A215,,FALSE,-1))</f>
        <v>-</v>
      </c>
      <c r="I216" s="32" t="str">
        <f t="shared" si="15"/>
        <v>-</v>
      </c>
    </row>
    <row r="217" spans="5:9" x14ac:dyDescent="0.25">
      <c r="E217" s="43" t="str">
        <f t="shared" si="12"/>
        <v>-</v>
      </c>
      <c r="F217" s="31" t="str">
        <f t="shared" si="13"/>
        <v>-</v>
      </c>
      <c r="G217" s="32" t="str">
        <f t="shared" si="14"/>
        <v>-</v>
      </c>
      <c r="H217" s="32" t="str" cm="1">
        <f t="array" ref="H217">IF(A217="","-",A217-_xlfn.XLOOKUP($L$3,$E$2:E216,$A$2:A216,,FALSE,-1))</f>
        <v>-</v>
      </c>
      <c r="I217" s="32" t="str">
        <f t="shared" si="15"/>
        <v>-</v>
      </c>
    </row>
    <row r="218" spans="5:9" x14ac:dyDescent="0.25">
      <c r="E218" s="43" t="str">
        <f t="shared" si="12"/>
        <v>-</v>
      </c>
      <c r="F218" s="31" t="str">
        <f t="shared" si="13"/>
        <v>-</v>
      </c>
      <c r="G218" s="32" t="str">
        <f t="shared" si="14"/>
        <v>-</v>
      </c>
      <c r="H218" s="32" t="str" cm="1">
        <f t="array" ref="H218">IF(A218="","-",A218-_xlfn.XLOOKUP($L$3,$E$2:E217,$A$2:A217,,FALSE,-1))</f>
        <v>-</v>
      </c>
      <c r="I218" s="32" t="str">
        <f t="shared" si="15"/>
        <v>-</v>
      </c>
    </row>
    <row r="219" spans="5:9" x14ac:dyDescent="0.25">
      <c r="E219" s="43" t="str">
        <f t="shared" si="12"/>
        <v>-</v>
      </c>
      <c r="F219" s="31" t="str">
        <f t="shared" si="13"/>
        <v>-</v>
      </c>
      <c r="G219" s="32" t="str">
        <f t="shared" si="14"/>
        <v>-</v>
      </c>
      <c r="H219" s="32" t="str" cm="1">
        <f t="array" ref="H219">IF(A219="","-",A219-_xlfn.XLOOKUP($L$3,$E$2:E218,$A$2:A218,,FALSE,-1))</f>
        <v>-</v>
      </c>
      <c r="I219" s="32" t="str">
        <f t="shared" si="15"/>
        <v>-</v>
      </c>
    </row>
    <row r="220" spans="5:9" x14ac:dyDescent="0.25">
      <c r="E220" s="43" t="str">
        <f t="shared" si="12"/>
        <v>-</v>
      </c>
      <c r="F220" s="31" t="str">
        <f t="shared" si="13"/>
        <v>-</v>
      </c>
      <c r="G220" s="32" t="str">
        <f t="shared" si="14"/>
        <v>-</v>
      </c>
      <c r="H220" s="32" t="str" cm="1">
        <f t="array" ref="H220">IF(A220="","-",A220-_xlfn.XLOOKUP($L$3,$E$2:E219,$A$2:A219,,FALSE,-1))</f>
        <v>-</v>
      </c>
      <c r="I220" s="32" t="str">
        <f t="shared" si="15"/>
        <v>-</v>
      </c>
    </row>
    <row r="221" spans="5:9" x14ac:dyDescent="0.25">
      <c r="E221" s="43" t="str">
        <f t="shared" si="12"/>
        <v>-</v>
      </c>
      <c r="F221" s="31" t="str">
        <f t="shared" si="13"/>
        <v>-</v>
      </c>
      <c r="G221" s="32" t="str">
        <f t="shared" si="14"/>
        <v>-</v>
      </c>
      <c r="H221" s="32" t="str" cm="1">
        <f t="array" ref="H221">IF(A221="","-",A221-_xlfn.XLOOKUP($L$3,$E$2:E220,$A$2:A220,,FALSE,-1))</f>
        <v>-</v>
      </c>
      <c r="I221" s="32" t="str">
        <f t="shared" si="15"/>
        <v>-</v>
      </c>
    </row>
    <row r="222" spans="5:9" x14ac:dyDescent="0.25">
      <c r="E222" s="43" t="str">
        <f t="shared" si="12"/>
        <v>-</v>
      </c>
      <c r="F222" s="31" t="str">
        <f t="shared" si="13"/>
        <v>-</v>
      </c>
      <c r="G222" s="32" t="str">
        <f t="shared" si="14"/>
        <v>-</v>
      </c>
      <c r="H222" s="32" t="str" cm="1">
        <f t="array" ref="H222">IF(A222="","-",A222-_xlfn.XLOOKUP($L$3,$E$2:E221,$A$2:A221,,FALSE,-1))</f>
        <v>-</v>
      </c>
      <c r="I222" s="32" t="str">
        <f t="shared" si="15"/>
        <v>-</v>
      </c>
    </row>
    <row r="223" spans="5:9" x14ac:dyDescent="0.25">
      <c r="E223" s="43" t="str">
        <f t="shared" si="12"/>
        <v>-</v>
      </c>
      <c r="F223" s="31" t="str">
        <f t="shared" si="13"/>
        <v>-</v>
      </c>
      <c r="G223" s="32" t="str">
        <f t="shared" si="14"/>
        <v>-</v>
      </c>
      <c r="H223" s="32" t="str" cm="1">
        <f t="array" ref="H223">IF(A223="","-",A223-_xlfn.XLOOKUP($L$3,$E$2:E222,$A$2:A222,,FALSE,-1))</f>
        <v>-</v>
      </c>
      <c r="I223" s="32" t="str">
        <f t="shared" si="15"/>
        <v>-</v>
      </c>
    </row>
    <row r="224" spans="5:9" x14ac:dyDescent="0.25">
      <c r="E224" s="43" t="str">
        <f t="shared" si="12"/>
        <v>-</v>
      </c>
      <c r="F224" s="31" t="str">
        <f t="shared" si="13"/>
        <v>-</v>
      </c>
      <c r="G224" s="32" t="str">
        <f t="shared" si="14"/>
        <v>-</v>
      </c>
      <c r="H224" s="32" t="str" cm="1">
        <f t="array" ref="H224">IF(A224="","-",A224-_xlfn.XLOOKUP($L$3,$E$2:E223,$A$2:A223,,FALSE,-1))</f>
        <v>-</v>
      </c>
      <c r="I224" s="32" t="str">
        <f t="shared" si="15"/>
        <v>-</v>
      </c>
    </row>
    <row r="225" spans="5:9" x14ac:dyDescent="0.25">
      <c r="E225" s="43" t="str">
        <f t="shared" si="12"/>
        <v>-</v>
      </c>
      <c r="F225" s="31" t="str">
        <f t="shared" si="13"/>
        <v>-</v>
      </c>
      <c r="G225" s="32" t="str">
        <f t="shared" si="14"/>
        <v>-</v>
      </c>
      <c r="H225" s="32" t="str" cm="1">
        <f t="array" ref="H225">IF(A225="","-",A225-_xlfn.XLOOKUP($L$3,$E$2:E224,$A$2:A224,,FALSE,-1))</f>
        <v>-</v>
      </c>
      <c r="I225" s="32" t="str">
        <f t="shared" si="15"/>
        <v>-</v>
      </c>
    </row>
    <row r="226" spans="5:9" x14ac:dyDescent="0.25">
      <c r="E226" s="43" t="str">
        <f t="shared" si="12"/>
        <v>-</v>
      </c>
      <c r="F226" s="31" t="str">
        <f t="shared" si="13"/>
        <v>-</v>
      </c>
      <c r="G226" s="32" t="str">
        <f t="shared" si="14"/>
        <v>-</v>
      </c>
      <c r="H226" s="32" t="str" cm="1">
        <f t="array" ref="H226">IF(A226="","-",A226-_xlfn.XLOOKUP($L$3,$E$2:E225,$A$2:A225,,FALSE,-1))</f>
        <v>-</v>
      </c>
      <c r="I226" s="32" t="str">
        <f t="shared" si="15"/>
        <v>-</v>
      </c>
    </row>
    <row r="227" spans="5:9" x14ac:dyDescent="0.25">
      <c r="E227" s="43" t="str">
        <f t="shared" si="12"/>
        <v>-</v>
      </c>
      <c r="F227" s="31" t="str">
        <f t="shared" si="13"/>
        <v>-</v>
      </c>
      <c r="G227" s="32" t="str">
        <f t="shared" si="14"/>
        <v>-</v>
      </c>
      <c r="H227" s="32" t="str" cm="1">
        <f t="array" ref="H227">IF(A227="","-",A227-_xlfn.XLOOKUP($L$3,$E$2:E226,$A$2:A226,,FALSE,-1))</f>
        <v>-</v>
      </c>
      <c r="I227" s="32" t="str">
        <f t="shared" si="15"/>
        <v>-</v>
      </c>
    </row>
    <row r="228" spans="5:9" x14ac:dyDescent="0.25">
      <c r="E228" s="43" t="str">
        <f t="shared" si="12"/>
        <v>-</v>
      </c>
      <c r="F228" s="31" t="str">
        <f t="shared" si="13"/>
        <v>-</v>
      </c>
      <c r="G228" s="32" t="str">
        <f t="shared" si="14"/>
        <v>-</v>
      </c>
      <c r="H228" s="32" t="str" cm="1">
        <f t="array" ref="H228">IF(A228="","-",A228-_xlfn.XLOOKUP($L$3,$E$2:E227,$A$2:A227,,FALSE,-1))</f>
        <v>-</v>
      </c>
      <c r="I228" s="32" t="str">
        <f t="shared" si="15"/>
        <v>-</v>
      </c>
    </row>
    <row r="229" spans="5:9" x14ac:dyDescent="0.25">
      <c r="E229" s="43" t="str">
        <f t="shared" si="12"/>
        <v>-</v>
      </c>
      <c r="F229" s="31" t="str">
        <f t="shared" si="13"/>
        <v>-</v>
      </c>
      <c r="G229" s="32" t="str">
        <f t="shared" si="14"/>
        <v>-</v>
      </c>
      <c r="H229" s="32" t="str" cm="1">
        <f t="array" ref="H229">IF(A229="","-",A229-_xlfn.XLOOKUP($L$3,$E$2:E228,$A$2:A228,,FALSE,-1))</f>
        <v>-</v>
      </c>
      <c r="I229" s="32" t="str">
        <f t="shared" si="15"/>
        <v>-</v>
      </c>
    </row>
    <row r="230" spans="5:9" x14ac:dyDescent="0.25">
      <c r="E230" s="43" t="str">
        <f t="shared" si="12"/>
        <v>-</v>
      </c>
      <c r="F230" s="31" t="str">
        <f t="shared" si="13"/>
        <v>-</v>
      </c>
      <c r="G230" s="32" t="str">
        <f t="shared" si="14"/>
        <v>-</v>
      </c>
      <c r="H230" s="32" t="str" cm="1">
        <f t="array" ref="H230">IF(A230="","-",A230-_xlfn.XLOOKUP($L$3,$E$2:E229,$A$2:A229,,FALSE,-1))</f>
        <v>-</v>
      </c>
      <c r="I230" s="32" t="str">
        <f t="shared" si="15"/>
        <v>-</v>
      </c>
    </row>
    <row r="231" spans="5:9" x14ac:dyDescent="0.25">
      <c r="E231" s="43" t="str">
        <f t="shared" si="12"/>
        <v>-</v>
      </c>
      <c r="F231" s="31" t="str">
        <f t="shared" si="13"/>
        <v>-</v>
      </c>
      <c r="G231" s="32" t="str">
        <f t="shared" si="14"/>
        <v>-</v>
      </c>
      <c r="H231" s="32" t="str" cm="1">
        <f t="array" ref="H231">IF(A231="","-",A231-_xlfn.XLOOKUP($L$3,$E$2:E230,$A$2:A230,,FALSE,-1))</f>
        <v>-</v>
      </c>
      <c r="I231" s="32" t="str">
        <f t="shared" si="15"/>
        <v>-</v>
      </c>
    </row>
    <row r="232" spans="5:9" x14ac:dyDescent="0.25">
      <c r="E232" s="43" t="str">
        <f t="shared" si="12"/>
        <v>-</v>
      </c>
      <c r="F232" s="31" t="str">
        <f t="shared" si="13"/>
        <v>-</v>
      </c>
      <c r="G232" s="32" t="str">
        <f t="shared" si="14"/>
        <v>-</v>
      </c>
      <c r="H232" s="32" t="str" cm="1">
        <f t="array" ref="H232">IF(A232="","-",A232-_xlfn.XLOOKUP($L$3,$E$2:E231,$A$2:A231,,FALSE,-1))</f>
        <v>-</v>
      </c>
      <c r="I232" s="32" t="str">
        <f t="shared" si="15"/>
        <v>-</v>
      </c>
    </row>
    <row r="233" spans="5:9" x14ac:dyDescent="0.25">
      <c r="E233" s="43" t="str">
        <f t="shared" si="12"/>
        <v>-</v>
      </c>
      <c r="F233" s="31" t="str">
        <f t="shared" si="13"/>
        <v>-</v>
      </c>
      <c r="G233" s="32" t="str">
        <f t="shared" si="14"/>
        <v>-</v>
      </c>
      <c r="H233" s="32" t="str" cm="1">
        <f t="array" ref="H233">IF(A233="","-",A233-_xlfn.XLOOKUP($L$3,$E$2:E232,$A$2:A232,,FALSE,-1))</f>
        <v>-</v>
      </c>
      <c r="I233" s="32" t="str">
        <f t="shared" si="15"/>
        <v>-</v>
      </c>
    </row>
    <row r="234" spans="5:9" x14ac:dyDescent="0.25">
      <c r="E234" s="43" t="str">
        <f t="shared" si="12"/>
        <v>-</v>
      </c>
      <c r="F234" s="31" t="str">
        <f t="shared" si="13"/>
        <v>-</v>
      </c>
      <c r="G234" s="32" t="str">
        <f t="shared" si="14"/>
        <v>-</v>
      </c>
      <c r="H234" s="32" t="str" cm="1">
        <f t="array" ref="H234">IF(A234="","-",A234-_xlfn.XLOOKUP($L$3,$E$2:E233,$A$2:A233,,FALSE,-1))</f>
        <v>-</v>
      </c>
      <c r="I234" s="32" t="str">
        <f t="shared" si="15"/>
        <v>-</v>
      </c>
    </row>
    <row r="235" spans="5:9" x14ac:dyDescent="0.25">
      <c r="E235" s="43" t="str">
        <f t="shared" si="12"/>
        <v>-</v>
      </c>
      <c r="F235" s="31" t="str">
        <f t="shared" si="13"/>
        <v>-</v>
      </c>
      <c r="G235" s="32" t="str">
        <f t="shared" si="14"/>
        <v>-</v>
      </c>
      <c r="H235" s="32" t="str" cm="1">
        <f t="array" ref="H235">IF(A235="","-",A235-_xlfn.XLOOKUP($L$3,$E$2:E234,$A$2:A234,,FALSE,-1))</f>
        <v>-</v>
      </c>
      <c r="I235" s="32" t="str">
        <f t="shared" si="15"/>
        <v>-</v>
      </c>
    </row>
    <row r="236" spans="5:9" x14ac:dyDescent="0.25">
      <c r="E236" s="43" t="str">
        <f t="shared" si="12"/>
        <v>-</v>
      </c>
      <c r="F236" s="31" t="str">
        <f t="shared" si="13"/>
        <v>-</v>
      </c>
      <c r="G236" s="32" t="str">
        <f t="shared" si="14"/>
        <v>-</v>
      </c>
      <c r="H236" s="32" t="str" cm="1">
        <f t="array" ref="H236">IF(A236="","-",A236-_xlfn.XLOOKUP($L$3,$E$2:E235,$A$2:A235,,FALSE,-1))</f>
        <v>-</v>
      </c>
      <c r="I236" s="32" t="str">
        <f t="shared" si="15"/>
        <v>-</v>
      </c>
    </row>
    <row r="237" spans="5:9" x14ac:dyDescent="0.25">
      <c r="E237" s="43" t="str">
        <f t="shared" si="12"/>
        <v>-</v>
      </c>
      <c r="F237" s="31" t="str">
        <f t="shared" si="13"/>
        <v>-</v>
      </c>
      <c r="G237" s="32" t="str">
        <f t="shared" si="14"/>
        <v>-</v>
      </c>
      <c r="H237" s="32" t="str" cm="1">
        <f t="array" ref="H237">IF(A237="","-",A237-_xlfn.XLOOKUP($L$3,$E$2:E236,$A$2:A236,,FALSE,-1))</f>
        <v>-</v>
      </c>
      <c r="I237" s="32" t="str">
        <f t="shared" si="15"/>
        <v>-</v>
      </c>
    </row>
    <row r="238" spans="5:9" x14ac:dyDescent="0.25">
      <c r="E238" s="43" t="str">
        <f t="shared" si="12"/>
        <v>-</v>
      </c>
      <c r="F238" s="31" t="str">
        <f t="shared" si="13"/>
        <v>-</v>
      </c>
      <c r="G238" s="32" t="str">
        <f t="shared" si="14"/>
        <v>-</v>
      </c>
      <c r="H238" s="32" t="str" cm="1">
        <f t="array" ref="H238">IF(A238="","-",A238-_xlfn.XLOOKUP($L$3,$E$2:E237,$A$2:A237,,FALSE,-1))</f>
        <v>-</v>
      </c>
      <c r="I238" s="32" t="str">
        <f t="shared" si="15"/>
        <v>-</v>
      </c>
    </row>
    <row r="239" spans="5:9" x14ac:dyDescent="0.25">
      <c r="E239" s="43" t="str">
        <f t="shared" si="12"/>
        <v>-</v>
      </c>
      <c r="F239" s="31" t="str">
        <f t="shared" si="13"/>
        <v>-</v>
      </c>
      <c r="G239" s="32" t="str">
        <f t="shared" si="14"/>
        <v>-</v>
      </c>
      <c r="H239" s="32" t="str" cm="1">
        <f t="array" ref="H239">IF(A239="","-",A239-_xlfn.XLOOKUP($L$3,$E$2:E238,$A$2:A238,,FALSE,-1))</f>
        <v>-</v>
      </c>
      <c r="I239" s="32" t="str">
        <f t="shared" si="15"/>
        <v>-</v>
      </c>
    </row>
    <row r="240" spans="5:9" x14ac:dyDescent="0.25">
      <c r="E240" s="43" t="str">
        <f t="shared" si="12"/>
        <v>-</v>
      </c>
      <c r="F240" s="31" t="str">
        <f t="shared" si="13"/>
        <v>-</v>
      </c>
      <c r="G240" s="32" t="str">
        <f t="shared" si="14"/>
        <v>-</v>
      </c>
      <c r="H240" s="32" t="str" cm="1">
        <f t="array" ref="H240">IF(A240="","-",A240-_xlfn.XLOOKUP($L$3,$E$2:E239,$A$2:A239,,FALSE,-1))</f>
        <v>-</v>
      </c>
      <c r="I240" s="32" t="str">
        <f t="shared" si="15"/>
        <v>-</v>
      </c>
    </row>
    <row r="241" spans="5:9" x14ac:dyDescent="0.25">
      <c r="E241" s="43" t="str">
        <f t="shared" si="12"/>
        <v>-</v>
      </c>
      <c r="F241" s="31" t="str">
        <f t="shared" si="13"/>
        <v>-</v>
      </c>
      <c r="G241" s="32" t="str">
        <f t="shared" si="14"/>
        <v>-</v>
      </c>
      <c r="H241" s="32" t="str" cm="1">
        <f t="array" ref="H241">IF(A241="","-",A241-_xlfn.XLOOKUP($L$3,$E$2:E240,$A$2:A240,,FALSE,-1))</f>
        <v>-</v>
      </c>
      <c r="I241" s="32" t="str">
        <f t="shared" si="15"/>
        <v>-</v>
      </c>
    </row>
    <row r="242" spans="5:9" x14ac:dyDescent="0.25">
      <c r="E242" s="43" t="str">
        <f t="shared" si="12"/>
        <v>-</v>
      </c>
      <c r="F242" s="31" t="str">
        <f t="shared" si="13"/>
        <v>-</v>
      </c>
      <c r="G242" s="32" t="str">
        <f t="shared" si="14"/>
        <v>-</v>
      </c>
      <c r="H242" s="32" t="str" cm="1">
        <f t="array" ref="H242">IF(A242="","-",A242-_xlfn.XLOOKUP($L$3,$E$2:E241,$A$2:A241,,FALSE,-1))</f>
        <v>-</v>
      </c>
      <c r="I242" s="32" t="str">
        <f t="shared" si="15"/>
        <v>-</v>
      </c>
    </row>
    <row r="243" spans="5:9" x14ac:dyDescent="0.25">
      <c r="E243" s="43" t="str">
        <f t="shared" si="12"/>
        <v>-</v>
      </c>
      <c r="F243" s="31" t="str">
        <f t="shared" si="13"/>
        <v>-</v>
      </c>
      <c r="G243" s="32" t="str">
        <f t="shared" si="14"/>
        <v>-</v>
      </c>
      <c r="H243" s="32" t="str" cm="1">
        <f t="array" ref="H243">IF(A243="","-",A243-_xlfn.XLOOKUP($L$3,$E$2:E242,$A$2:A242,,FALSE,-1))</f>
        <v>-</v>
      </c>
      <c r="I243" s="32" t="str">
        <f t="shared" si="15"/>
        <v>-</v>
      </c>
    </row>
    <row r="244" spans="5:9" x14ac:dyDescent="0.25">
      <c r="E244" s="43" t="str">
        <f t="shared" si="12"/>
        <v>-</v>
      </c>
      <c r="F244" s="31" t="str">
        <f t="shared" si="13"/>
        <v>-</v>
      </c>
      <c r="G244" s="32" t="str">
        <f t="shared" si="14"/>
        <v>-</v>
      </c>
      <c r="H244" s="32" t="str" cm="1">
        <f t="array" ref="H244">IF(A244="","-",A244-_xlfn.XLOOKUP($L$3,$E$2:E243,$A$2:A243,,FALSE,-1))</f>
        <v>-</v>
      </c>
      <c r="I244" s="32" t="str">
        <f t="shared" si="15"/>
        <v>-</v>
      </c>
    </row>
    <row r="245" spans="5:9" x14ac:dyDescent="0.25">
      <c r="E245" s="43" t="str">
        <f t="shared" si="12"/>
        <v>-</v>
      </c>
      <c r="F245" s="31" t="str">
        <f t="shared" si="13"/>
        <v>-</v>
      </c>
      <c r="G245" s="32" t="str">
        <f t="shared" si="14"/>
        <v>-</v>
      </c>
      <c r="H245" s="32" t="str" cm="1">
        <f t="array" ref="H245">IF(A245="","-",A245-_xlfn.XLOOKUP($L$3,$E$2:E244,$A$2:A244,,FALSE,-1))</f>
        <v>-</v>
      </c>
      <c r="I245" s="32" t="str">
        <f t="shared" si="15"/>
        <v>-</v>
      </c>
    </row>
    <row r="246" spans="5:9" x14ac:dyDescent="0.25">
      <c r="E246" s="43" t="str">
        <f t="shared" si="12"/>
        <v>-</v>
      </c>
      <c r="F246" s="31" t="str">
        <f t="shared" si="13"/>
        <v>-</v>
      </c>
      <c r="G246" s="32" t="str">
        <f t="shared" si="14"/>
        <v>-</v>
      </c>
      <c r="H246" s="32" t="str" cm="1">
        <f t="array" ref="H246">IF(A246="","-",A246-_xlfn.XLOOKUP($L$3,$E$2:E245,$A$2:A245,,FALSE,-1))</f>
        <v>-</v>
      </c>
      <c r="I246" s="32" t="str">
        <f t="shared" si="15"/>
        <v>-</v>
      </c>
    </row>
    <row r="247" spans="5:9" x14ac:dyDescent="0.25">
      <c r="E247" s="43" t="str">
        <f t="shared" si="12"/>
        <v>-</v>
      </c>
      <c r="F247" s="31" t="str">
        <f t="shared" si="13"/>
        <v>-</v>
      </c>
      <c r="G247" s="32" t="str">
        <f t="shared" si="14"/>
        <v>-</v>
      </c>
      <c r="H247" s="32" t="str" cm="1">
        <f t="array" ref="H247">IF(A247="","-",A247-_xlfn.XLOOKUP($L$3,$E$2:E246,$A$2:A246,,FALSE,-1))</f>
        <v>-</v>
      </c>
      <c r="I247" s="32" t="str">
        <f t="shared" si="15"/>
        <v>-</v>
      </c>
    </row>
    <row r="248" spans="5:9" x14ac:dyDescent="0.25">
      <c r="E248" s="43" t="str">
        <f t="shared" si="12"/>
        <v>-</v>
      </c>
      <c r="F248" s="31" t="str">
        <f t="shared" si="13"/>
        <v>-</v>
      </c>
      <c r="G248" s="32" t="str">
        <f t="shared" si="14"/>
        <v>-</v>
      </c>
      <c r="H248" s="32" t="str" cm="1">
        <f t="array" ref="H248">IF(A248="","-",A248-_xlfn.XLOOKUP($L$3,$E$2:E247,$A$2:A247,,FALSE,-1))</f>
        <v>-</v>
      </c>
      <c r="I248" s="32" t="str">
        <f t="shared" si="15"/>
        <v>-</v>
      </c>
    </row>
    <row r="249" spans="5:9" x14ac:dyDescent="0.25">
      <c r="E249" s="43" t="str">
        <f t="shared" si="12"/>
        <v>-</v>
      </c>
      <c r="F249" s="31" t="str">
        <f t="shared" si="13"/>
        <v>-</v>
      </c>
      <c r="G249" s="32" t="str">
        <f t="shared" si="14"/>
        <v>-</v>
      </c>
      <c r="H249" s="32" t="str" cm="1">
        <f t="array" ref="H249">IF(A249="","-",A249-_xlfn.XLOOKUP($L$3,$E$2:E248,$A$2:A248,,FALSE,-1))</f>
        <v>-</v>
      </c>
      <c r="I249" s="32" t="str">
        <f t="shared" si="15"/>
        <v>-</v>
      </c>
    </row>
    <row r="250" spans="5:9" x14ac:dyDescent="0.25">
      <c r="E250" s="43" t="str">
        <f t="shared" si="12"/>
        <v>-</v>
      </c>
      <c r="F250" s="31" t="str">
        <f t="shared" si="13"/>
        <v>-</v>
      </c>
      <c r="G250" s="32" t="str">
        <f t="shared" si="14"/>
        <v>-</v>
      </c>
      <c r="H250" s="32" t="str" cm="1">
        <f t="array" ref="H250">IF(A250="","-",A250-_xlfn.XLOOKUP($L$3,$E$2:E249,$A$2:A249,,FALSE,-1))</f>
        <v>-</v>
      </c>
      <c r="I250" s="32" t="str">
        <f t="shared" si="15"/>
        <v>-</v>
      </c>
    </row>
    <row r="251" spans="5:9" x14ac:dyDescent="0.25">
      <c r="E251" s="43" t="str">
        <f t="shared" si="12"/>
        <v>-</v>
      </c>
      <c r="F251" s="31" t="str">
        <f t="shared" si="13"/>
        <v>-</v>
      </c>
      <c r="G251" s="32" t="str">
        <f t="shared" si="14"/>
        <v>-</v>
      </c>
      <c r="H251" s="32" t="str" cm="1">
        <f t="array" ref="H251">IF(A251="","-",A251-_xlfn.XLOOKUP($L$3,$E$2:E250,$A$2:A250,,FALSE,-1))</f>
        <v>-</v>
      </c>
      <c r="I251" s="32" t="str">
        <f t="shared" si="15"/>
        <v>-</v>
      </c>
    </row>
    <row r="252" spans="5:9" x14ac:dyDescent="0.25">
      <c r="E252" s="43" t="str">
        <f t="shared" si="12"/>
        <v>-</v>
      </c>
      <c r="F252" s="31" t="str">
        <f t="shared" si="13"/>
        <v>-</v>
      </c>
      <c r="G252" s="32" t="str">
        <f t="shared" si="14"/>
        <v>-</v>
      </c>
      <c r="H252" s="32" t="str" cm="1">
        <f t="array" ref="H252">IF(A252="","-",A252-_xlfn.XLOOKUP($L$3,$E$2:E251,$A$2:A251,,FALSE,-1))</f>
        <v>-</v>
      </c>
      <c r="I252" s="32" t="str">
        <f t="shared" si="15"/>
        <v>-</v>
      </c>
    </row>
    <row r="253" spans="5:9" x14ac:dyDescent="0.25">
      <c r="E253" s="43" t="str">
        <f t="shared" si="12"/>
        <v>-</v>
      </c>
      <c r="F253" s="31" t="str">
        <f t="shared" si="13"/>
        <v>-</v>
      </c>
      <c r="G253" s="32" t="str">
        <f t="shared" si="14"/>
        <v>-</v>
      </c>
      <c r="H253" s="32" t="str" cm="1">
        <f t="array" ref="H253">IF(A253="","-",A253-_xlfn.XLOOKUP($L$3,$E$2:E252,$A$2:A252,,FALSE,-1))</f>
        <v>-</v>
      </c>
      <c r="I253" s="32" t="str">
        <f t="shared" si="15"/>
        <v>-</v>
      </c>
    </row>
    <row r="254" spans="5:9" x14ac:dyDescent="0.25">
      <c r="E254" s="43" t="str">
        <f t="shared" si="12"/>
        <v>-</v>
      </c>
      <c r="F254" s="31" t="str">
        <f t="shared" si="13"/>
        <v>-</v>
      </c>
      <c r="G254" s="32" t="str">
        <f t="shared" si="14"/>
        <v>-</v>
      </c>
      <c r="H254" s="32" t="str" cm="1">
        <f t="array" ref="H254">IF(A254="","-",A254-_xlfn.XLOOKUP($L$3,$E$2:E253,$A$2:A253,,FALSE,-1))</f>
        <v>-</v>
      </c>
      <c r="I254" s="32" t="str">
        <f t="shared" si="15"/>
        <v>-</v>
      </c>
    </row>
    <row r="255" spans="5:9" x14ac:dyDescent="0.25">
      <c r="E255" s="43" t="str">
        <f t="shared" si="12"/>
        <v>-</v>
      </c>
      <c r="F255" s="31" t="str">
        <f t="shared" si="13"/>
        <v>-</v>
      </c>
      <c r="G255" s="32" t="str">
        <f t="shared" si="14"/>
        <v>-</v>
      </c>
      <c r="H255" s="32" t="str" cm="1">
        <f t="array" ref="H255">IF(A255="","-",A255-_xlfn.XLOOKUP($L$3,$E$2:E254,$A$2:A254,,FALSE,-1))</f>
        <v>-</v>
      </c>
      <c r="I255" s="32" t="str">
        <f t="shared" si="15"/>
        <v>-</v>
      </c>
    </row>
    <row r="256" spans="5:9" x14ac:dyDescent="0.25">
      <c r="E256" s="43" t="str">
        <f t="shared" si="12"/>
        <v>-</v>
      </c>
      <c r="F256" s="31" t="str">
        <f t="shared" si="13"/>
        <v>-</v>
      </c>
      <c r="G256" s="32" t="str">
        <f t="shared" si="14"/>
        <v>-</v>
      </c>
      <c r="H256" s="32" t="str" cm="1">
        <f t="array" ref="H256">IF(A256="","-",A256-_xlfn.XLOOKUP($L$3,$E$2:E255,$A$2:A255,,FALSE,-1))</f>
        <v>-</v>
      </c>
      <c r="I256" s="32" t="str">
        <f t="shared" si="15"/>
        <v>-</v>
      </c>
    </row>
    <row r="257" spans="5:9" x14ac:dyDescent="0.25">
      <c r="E257" s="43" t="str">
        <f t="shared" si="12"/>
        <v>-</v>
      </c>
      <c r="F257" s="31" t="str">
        <f t="shared" si="13"/>
        <v>-</v>
      </c>
      <c r="G257" s="32" t="str">
        <f t="shared" si="14"/>
        <v>-</v>
      </c>
      <c r="H257" s="32" t="str" cm="1">
        <f t="array" ref="H257">IF(A257="","-",A257-_xlfn.XLOOKUP($L$3,$E$2:E256,$A$2:A256,,FALSE,-1))</f>
        <v>-</v>
      </c>
      <c r="I257" s="32" t="str">
        <f t="shared" si="15"/>
        <v>-</v>
      </c>
    </row>
    <row r="258" spans="5:9" x14ac:dyDescent="0.25">
      <c r="E258" s="43" t="str">
        <f t="shared" si="12"/>
        <v>-</v>
      </c>
      <c r="F258" s="31" t="str">
        <f t="shared" si="13"/>
        <v>-</v>
      </c>
      <c r="G258" s="32" t="str">
        <f t="shared" si="14"/>
        <v>-</v>
      </c>
      <c r="H258" s="32" t="str" cm="1">
        <f t="array" ref="H258">IF(A258="","-",A258-_xlfn.XLOOKUP($L$3,$E$2:E257,$A$2:A257,,FALSE,-1))</f>
        <v>-</v>
      </c>
      <c r="I258" s="32" t="str">
        <f t="shared" si="15"/>
        <v>-</v>
      </c>
    </row>
    <row r="259" spans="5:9" x14ac:dyDescent="0.25">
      <c r="E259" s="43" t="str">
        <f t="shared" ref="E259:E322" si="16">IF(A259="","-",VLOOKUP(C259,$L$3:$O$8,2,FALSE))</f>
        <v>-</v>
      </c>
      <c r="F259" s="31" t="str">
        <f t="shared" ref="F259:F322" si="17">IF(A259="","-",IF(OR(C259=$L$10,C259=$L$11,C259=$L$12),MID(SUBSTITUTE(D259,".",","),1,FIND("(",SUBSTITUTE(D259,".",","))-1)*1,D259))</f>
        <v>-</v>
      </c>
      <c r="G259" s="32" t="str">
        <f t="shared" ref="G259:G322" si="18">IF(A259="","-",A259-A258)</f>
        <v>-</v>
      </c>
      <c r="H259" s="32" t="str" cm="1">
        <f t="array" ref="H259">IF(A259="","-",A259-_xlfn.XLOOKUP($L$3,$E$2:E258,$A$2:A258,,FALSE,-1))</f>
        <v>-</v>
      </c>
      <c r="I259" s="32" t="str">
        <f t="shared" ref="I259:I322" si="19">IF(A259="","-",A259-0.00173611111111116)</f>
        <v>-</v>
      </c>
    </row>
    <row r="260" spans="5:9" x14ac:dyDescent="0.25">
      <c r="E260" s="43" t="str">
        <f t="shared" si="16"/>
        <v>-</v>
      </c>
      <c r="F260" s="31" t="str">
        <f t="shared" si="17"/>
        <v>-</v>
      </c>
      <c r="G260" s="32" t="str">
        <f t="shared" si="18"/>
        <v>-</v>
      </c>
      <c r="H260" s="32" t="str" cm="1">
        <f t="array" ref="H260">IF(A260="","-",A260-_xlfn.XLOOKUP($L$3,$E$2:E259,$A$2:A259,,FALSE,-1))</f>
        <v>-</v>
      </c>
      <c r="I260" s="32" t="str">
        <f t="shared" si="19"/>
        <v>-</v>
      </c>
    </row>
    <row r="261" spans="5:9" x14ac:dyDescent="0.25">
      <c r="E261" s="43" t="str">
        <f t="shared" si="16"/>
        <v>-</v>
      </c>
      <c r="F261" s="31" t="str">
        <f t="shared" si="17"/>
        <v>-</v>
      </c>
      <c r="G261" s="32" t="str">
        <f t="shared" si="18"/>
        <v>-</v>
      </c>
      <c r="H261" s="32" t="str" cm="1">
        <f t="array" ref="H261">IF(A261="","-",A261-_xlfn.XLOOKUP($L$3,$E$2:E260,$A$2:A260,,FALSE,-1))</f>
        <v>-</v>
      </c>
      <c r="I261" s="32" t="str">
        <f t="shared" si="19"/>
        <v>-</v>
      </c>
    </row>
    <row r="262" spans="5:9" x14ac:dyDescent="0.25">
      <c r="E262" s="43" t="str">
        <f t="shared" si="16"/>
        <v>-</v>
      </c>
      <c r="F262" s="31" t="str">
        <f t="shared" si="17"/>
        <v>-</v>
      </c>
      <c r="G262" s="32" t="str">
        <f t="shared" si="18"/>
        <v>-</v>
      </c>
      <c r="H262" s="32" t="str" cm="1">
        <f t="array" ref="H262">IF(A262="","-",A262-_xlfn.XLOOKUP($L$3,$E$2:E261,$A$2:A261,,FALSE,-1))</f>
        <v>-</v>
      </c>
      <c r="I262" s="32" t="str">
        <f t="shared" si="19"/>
        <v>-</v>
      </c>
    </row>
    <row r="263" spans="5:9" x14ac:dyDescent="0.25">
      <c r="E263" s="43" t="str">
        <f t="shared" si="16"/>
        <v>-</v>
      </c>
      <c r="F263" s="31" t="str">
        <f t="shared" si="17"/>
        <v>-</v>
      </c>
      <c r="G263" s="32" t="str">
        <f t="shared" si="18"/>
        <v>-</v>
      </c>
      <c r="H263" s="32" t="str" cm="1">
        <f t="array" ref="H263">IF(A263="","-",A263-_xlfn.XLOOKUP($L$3,$E$2:E262,$A$2:A262,,FALSE,-1))</f>
        <v>-</v>
      </c>
      <c r="I263" s="32" t="str">
        <f t="shared" si="19"/>
        <v>-</v>
      </c>
    </row>
    <row r="264" spans="5:9" x14ac:dyDescent="0.25">
      <c r="E264" s="43" t="str">
        <f t="shared" si="16"/>
        <v>-</v>
      </c>
      <c r="F264" s="31" t="str">
        <f t="shared" si="17"/>
        <v>-</v>
      </c>
      <c r="G264" s="32" t="str">
        <f t="shared" si="18"/>
        <v>-</v>
      </c>
      <c r="H264" s="32" t="str" cm="1">
        <f t="array" ref="H264">IF(A264="","-",A264-_xlfn.XLOOKUP($L$3,$E$2:E263,$A$2:A263,,FALSE,-1))</f>
        <v>-</v>
      </c>
      <c r="I264" s="32" t="str">
        <f t="shared" si="19"/>
        <v>-</v>
      </c>
    </row>
    <row r="265" spans="5:9" x14ac:dyDescent="0.25">
      <c r="E265" s="43" t="str">
        <f t="shared" si="16"/>
        <v>-</v>
      </c>
      <c r="F265" s="31" t="str">
        <f t="shared" si="17"/>
        <v>-</v>
      </c>
      <c r="G265" s="32" t="str">
        <f t="shared" si="18"/>
        <v>-</v>
      </c>
      <c r="H265" s="32" t="str" cm="1">
        <f t="array" ref="H265">IF(A265="","-",A265-_xlfn.XLOOKUP($L$3,$E$2:E264,$A$2:A264,,FALSE,-1))</f>
        <v>-</v>
      </c>
      <c r="I265" s="32" t="str">
        <f t="shared" si="19"/>
        <v>-</v>
      </c>
    </row>
    <row r="266" spans="5:9" x14ac:dyDescent="0.25">
      <c r="E266" s="43" t="str">
        <f t="shared" si="16"/>
        <v>-</v>
      </c>
      <c r="F266" s="31" t="str">
        <f t="shared" si="17"/>
        <v>-</v>
      </c>
      <c r="G266" s="32" t="str">
        <f t="shared" si="18"/>
        <v>-</v>
      </c>
      <c r="H266" s="32" t="str" cm="1">
        <f t="array" ref="H266">IF(A266="","-",A266-_xlfn.XLOOKUP($L$3,$E$2:E265,$A$2:A265,,FALSE,-1))</f>
        <v>-</v>
      </c>
      <c r="I266" s="32" t="str">
        <f t="shared" si="19"/>
        <v>-</v>
      </c>
    </row>
    <row r="267" spans="5:9" x14ac:dyDescent="0.25">
      <c r="E267" s="43" t="str">
        <f t="shared" si="16"/>
        <v>-</v>
      </c>
      <c r="F267" s="31" t="str">
        <f t="shared" si="17"/>
        <v>-</v>
      </c>
      <c r="G267" s="32" t="str">
        <f t="shared" si="18"/>
        <v>-</v>
      </c>
      <c r="H267" s="32" t="str" cm="1">
        <f t="array" ref="H267">IF(A267="","-",A267-_xlfn.XLOOKUP($L$3,$E$2:E266,$A$2:A266,,FALSE,-1))</f>
        <v>-</v>
      </c>
      <c r="I267" s="32" t="str">
        <f t="shared" si="19"/>
        <v>-</v>
      </c>
    </row>
    <row r="268" spans="5:9" x14ac:dyDescent="0.25">
      <c r="E268" s="43" t="str">
        <f t="shared" si="16"/>
        <v>-</v>
      </c>
      <c r="F268" s="31" t="str">
        <f t="shared" si="17"/>
        <v>-</v>
      </c>
      <c r="G268" s="32" t="str">
        <f t="shared" si="18"/>
        <v>-</v>
      </c>
      <c r="H268" s="32" t="str" cm="1">
        <f t="array" ref="H268">IF(A268="","-",A268-_xlfn.XLOOKUP($L$3,$E$2:E267,$A$2:A267,,FALSE,-1))</f>
        <v>-</v>
      </c>
      <c r="I268" s="32" t="str">
        <f t="shared" si="19"/>
        <v>-</v>
      </c>
    </row>
    <row r="269" spans="5:9" x14ac:dyDescent="0.25">
      <c r="E269" s="43" t="str">
        <f t="shared" si="16"/>
        <v>-</v>
      </c>
      <c r="F269" s="31" t="str">
        <f t="shared" si="17"/>
        <v>-</v>
      </c>
      <c r="G269" s="32" t="str">
        <f t="shared" si="18"/>
        <v>-</v>
      </c>
      <c r="H269" s="32" t="str" cm="1">
        <f t="array" ref="H269">IF(A269="","-",A269-_xlfn.XLOOKUP($L$3,$E$2:E268,$A$2:A268,,FALSE,-1))</f>
        <v>-</v>
      </c>
      <c r="I269" s="32" t="str">
        <f t="shared" si="19"/>
        <v>-</v>
      </c>
    </row>
    <row r="270" spans="5:9" x14ac:dyDescent="0.25">
      <c r="E270" s="43" t="str">
        <f t="shared" si="16"/>
        <v>-</v>
      </c>
      <c r="F270" s="31" t="str">
        <f t="shared" si="17"/>
        <v>-</v>
      </c>
      <c r="G270" s="32" t="str">
        <f t="shared" si="18"/>
        <v>-</v>
      </c>
      <c r="H270" s="32" t="str" cm="1">
        <f t="array" ref="H270">IF(A270="","-",A270-_xlfn.XLOOKUP($L$3,$E$2:E269,$A$2:A269,,FALSE,-1))</f>
        <v>-</v>
      </c>
      <c r="I270" s="32" t="str">
        <f t="shared" si="19"/>
        <v>-</v>
      </c>
    </row>
    <row r="271" spans="5:9" x14ac:dyDescent="0.25">
      <c r="E271" s="43" t="str">
        <f t="shared" si="16"/>
        <v>-</v>
      </c>
      <c r="F271" s="31" t="str">
        <f t="shared" si="17"/>
        <v>-</v>
      </c>
      <c r="G271" s="32" t="str">
        <f t="shared" si="18"/>
        <v>-</v>
      </c>
      <c r="H271" s="32" t="str" cm="1">
        <f t="array" ref="H271">IF(A271="","-",A271-_xlfn.XLOOKUP($L$3,$E$2:E270,$A$2:A270,,FALSE,-1))</f>
        <v>-</v>
      </c>
      <c r="I271" s="32" t="str">
        <f t="shared" si="19"/>
        <v>-</v>
      </c>
    </row>
    <row r="272" spans="5:9" x14ac:dyDescent="0.25">
      <c r="E272" s="43" t="str">
        <f t="shared" si="16"/>
        <v>-</v>
      </c>
      <c r="F272" s="31" t="str">
        <f t="shared" si="17"/>
        <v>-</v>
      </c>
      <c r="G272" s="32" t="str">
        <f t="shared" si="18"/>
        <v>-</v>
      </c>
      <c r="H272" s="32" t="str" cm="1">
        <f t="array" ref="H272">IF(A272="","-",A272-_xlfn.XLOOKUP($L$3,$E$2:E271,$A$2:A271,,FALSE,-1))</f>
        <v>-</v>
      </c>
      <c r="I272" s="32" t="str">
        <f t="shared" si="19"/>
        <v>-</v>
      </c>
    </row>
    <row r="273" spans="5:9" x14ac:dyDescent="0.25">
      <c r="E273" s="43" t="str">
        <f t="shared" si="16"/>
        <v>-</v>
      </c>
      <c r="F273" s="31" t="str">
        <f t="shared" si="17"/>
        <v>-</v>
      </c>
      <c r="G273" s="32" t="str">
        <f t="shared" si="18"/>
        <v>-</v>
      </c>
      <c r="H273" s="32" t="str" cm="1">
        <f t="array" ref="H273">IF(A273="","-",A273-_xlfn.XLOOKUP($L$3,$E$2:E272,$A$2:A272,,FALSE,-1))</f>
        <v>-</v>
      </c>
      <c r="I273" s="32" t="str">
        <f t="shared" si="19"/>
        <v>-</v>
      </c>
    </row>
    <row r="274" spans="5:9" x14ac:dyDescent="0.25">
      <c r="E274" s="43" t="str">
        <f t="shared" si="16"/>
        <v>-</v>
      </c>
      <c r="F274" s="31" t="str">
        <f t="shared" si="17"/>
        <v>-</v>
      </c>
      <c r="G274" s="32" t="str">
        <f t="shared" si="18"/>
        <v>-</v>
      </c>
      <c r="H274" s="32" t="str" cm="1">
        <f t="array" ref="H274">IF(A274="","-",A274-_xlfn.XLOOKUP($L$3,$E$2:E273,$A$2:A273,,FALSE,-1))</f>
        <v>-</v>
      </c>
      <c r="I274" s="32" t="str">
        <f t="shared" si="19"/>
        <v>-</v>
      </c>
    </row>
    <row r="275" spans="5:9" x14ac:dyDescent="0.25">
      <c r="E275" s="43" t="str">
        <f t="shared" si="16"/>
        <v>-</v>
      </c>
      <c r="F275" s="31" t="str">
        <f t="shared" si="17"/>
        <v>-</v>
      </c>
      <c r="G275" s="32" t="str">
        <f t="shared" si="18"/>
        <v>-</v>
      </c>
      <c r="H275" s="32" t="str" cm="1">
        <f t="array" ref="H275">IF(A275="","-",A275-_xlfn.XLOOKUP($L$3,$E$2:E274,$A$2:A274,,FALSE,-1))</f>
        <v>-</v>
      </c>
      <c r="I275" s="32" t="str">
        <f t="shared" si="19"/>
        <v>-</v>
      </c>
    </row>
    <row r="276" spans="5:9" x14ac:dyDescent="0.25">
      <c r="E276" s="43" t="str">
        <f t="shared" si="16"/>
        <v>-</v>
      </c>
      <c r="F276" s="31" t="str">
        <f t="shared" si="17"/>
        <v>-</v>
      </c>
      <c r="G276" s="32" t="str">
        <f t="shared" si="18"/>
        <v>-</v>
      </c>
      <c r="H276" s="32" t="str" cm="1">
        <f t="array" ref="H276">IF(A276="","-",A276-_xlfn.XLOOKUP($L$3,$E$2:E275,$A$2:A275,,FALSE,-1))</f>
        <v>-</v>
      </c>
      <c r="I276" s="32" t="str">
        <f t="shared" si="19"/>
        <v>-</v>
      </c>
    </row>
    <row r="277" spans="5:9" x14ac:dyDescent="0.25">
      <c r="E277" s="43" t="str">
        <f t="shared" si="16"/>
        <v>-</v>
      </c>
      <c r="F277" s="31" t="str">
        <f t="shared" si="17"/>
        <v>-</v>
      </c>
      <c r="G277" s="32" t="str">
        <f t="shared" si="18"/>
        <v>-</v>
      </c>
      <c r="H277" s="32" t="str" cm="1">
        <f t="array" ref="H277">IF(A277="","-",A277-_xlfn.XLOOKUP($L$3,$E$2:E276,$A$2:A276,,FALSE,-1))</f>
        <v>-</v>
      </c>
      <c r="I277" s="32" t="str">
        <f t="shared" si="19"/>
        <v>-</v>
      </c>
    </row>
    <row r="278" spans="5:9" x14ac:dyDescent="0.25">
      <c r="E278" s="43" t="str">
        <f t="shared" si="16"/>
        <v>-</v>
      </c>
      <c r="F278" s="31" t="str">
        <f t="shared" si="17"/>
        <v>-</v>
      </c>
      <c r="G278" s="32" t="str">
        <f t="shared" si="18"/>
        <v>-</v>
      </c>
      <c r="H278" s="32" t="str" cm="1">
        <f t="array" ref="H278">IF(A278="","-",A278-_xlfn.XLOOKUP($L$3,$E$2:E277,$A$2:A277,,FALSE,-1))</f>
        <v>-</v>
      </c>
      <c r="I278" s="32" t="str">
        <f t="shared" si="19"/>
        <v>-</v>
      </c>
    </row>
    <row r="279" spans="5:9" x14ac:dyDescent="0.25">
      <c r="E279" s="43" t="str">
        <f t="shared" si="16"/>
        <v>-</v>
      </c>
      <c r="F279" s="31" t="str">
        <f t="shared" si="17"/>
        <v>-</v>
      </c>
      <c r="G279" s="32" t="str">
        <f t="shared" si="18"/>
        <v>-</v>
      </c>
      <c r="H279" s="32" t="str" cm="1">
        <f t="array" ref="H279">IF(A279="","-",A279-_xlfn.XLOOKUP($L$3,$E$2:E278,$A$2:A278,,FALSE,-1))</f>
        <v>-</v>
      </c>
      <c r="I279" s="32" t="str">
        <f t="shared" si="19"/>
        <v>-</v>
      </c>
    </row>
    <row r="280" spans="5:9" x14ac:dyDescent="0.25">
      <c r="E280" s="43" t="str">
        <f t="shared" si="16"/>
        <v>-</v>
      </c>
      <c r="F280" s="31" t="str">
        <f t="shared" si="17"/>
        <v>-</v>
      </c>
      <c r="G280" s="32" t="str">
        <f t="shared" si="18"/>
        <v>-</v>
      </c>
      <c r="H280" s="32" t="str" cm="1">
        <f t="array" ref="H280">IF(A280="","-",A280-_xlfn.XLOOKUP($L$3,$E$2:E279,$A$2:A279,,FALSE,-1))</f>
        <v>-</v>
      </c>
      <c r="I280" s="32" t="str">
        <f t="shared" si="19"/>
        <v>-</v>
      </c>
    </row>
    <row r="281" spans="5:9" x14ac:dyDescent="0.25">
      <c r="E281" s="43" t="str">
        <f t="shared" si="16"/>
        <v>-</v>
      </c>
      <c r="F281" s="31" t="str">
        <f t="shared" si="17"/>
        <v>-</v>
      </c>
      <c r="G281" s="32" t="str">
        <f t="shared" si="18"/>
        <v>-</v>
      </c>
      <c r="H281" s="32" t="str" cm="1">
        <f t="array" ref="H281">IF(A281="","-",A281-_xlfn.XLOOKUP($L$3,$E$2:E280,$A$2:A280,,FALSE,-1))</f>
        <v>-</v>
      </c>
      <c r="I281" s="32" t="str">
        <f t="shared" si="19"/>
        <v>-</v>
      </c>
    </row>
    <row r="282" spans="5:9" x14ac:dyDescent="0.25">
      <c r="E282" s="43" t="str">
        <f t="shared" si="16"/>
        <v>-</v>
      </c>
      <c r="F282" s="31" t="str">
        <f t="shared" si="17"/>
        <v>-</v>
      </c>
      <c r="G282" s="32" t="str">
        <f t="shared" si="18"/>
        <v>-</v>
      </c>
      <c r="H282" s="32" t="str" cm="1">
        <f t="array" ref="H282">IF(A282="","-",A282-_xlfn.XLOOKUP($L$3,$E$2:E281,$A$2:A281,,FALSE,-1))</f>
        <v>-</v>
      </c>
      <c r="I282" s="32" t="str">
        <f t="shared" si="19"/>
        <v>-</v>
      </c>
    </row>
    <row r="283" spans="5:9" x14ac:dyDescent="0.25">
      <c r="E283" s="43" t="str">
        <f t="shared" si="16"/>
        <v>-</v>
      </c>
      <c r="F283" s="31" t="str">
        <f t="shared" si="17"/>
        <v>-</v>
      </c>
      <c r="G283" s="32" t="str">
        <f t="shared" si="18"/>
        <v>-</v>
      </c>
      <c r="H283" s="32" t="str" cm="1">
        <f t="array" ref="H283">IF(A283="","-",A283-_xlfn.XLOOKUP($L$3,$E$2:E282,$A$2:A282,,FALSE,-1))</f>
        <v>-</v>
      </c>
      <c r="I283" s="32" t="str">
        <f t="shared" si="19"/>
        <v>-</v>
      </c>
    </row>
    <row r="284" spans="5:9" x14ac:dyDescent="0.25">
      <c r="E284" s="43" t="str">
        <f t="shared" si="16"/>
        <v>-</v>
      </c>
      <c r="F284" s="31" t="str">
        <f t="shared" si="17"/>
        <v>-</v>
      </c>
      <c r="G284" s="32" t="str">
        <f t="shared" si="18"/>
        <v>-</v>
      </c>
      <c r="H284" s="32" t="str" cm="1">
        <f t="array" ref="H284">IF(A284="","-",A284-_xlfn.XLOOKUP($L$3,$E$2:E283,$A$2:A283,,FALSE,-1))</f>
        <v>-</v>
      </c>
      <c r="I284" s="32" t="str">
        <f t="shared" si="19"/>
        <v>-</v>
      </c>
    </row>
    <row r="285" spans="5:9" x14ac:dyDescent="0.25">
      <c r="E285" s="43" t="str">
        <f t="shared" si="16"/>
        <v>-</v>
      </c>
      <c r="F285" s="31" t="str">
        <f t="shared" si="17"/>
        <v>-</v>
      </c>
      <c r="G285" s="32" t="str">
        <f t="shared" si="18"/>
        <v>-</v>
      </c>
      <c r="H285" s="32" t="str" cm="1">
        <f t="array" ref="H285">IF(A285="","-",A285-_xlfn.XLOOKUP($L$3,$E$2:E284,$A$2:A284,,FALSE,-1))</f>
        <v>-</v>
      </c>
      <c r="I285" s="32" t="str">
        <f t="shared" si="19"/>
        <v>-</v>
      </c>
    </row>
    <row r="286" spans="5:9" x14ac:dyDescent="0.25">
      <c r="E286" s="43" t="str">
        <f t="shared" si="16"/>
        <v>-</v>
      </c>
      <c r="F286" s="31" t="str">
        <f t="shared" si="17"/>
        <v>-</v>
      </c>
      <c r="G286" s="32" t="str">
        <f t="shared" si="18"/>
        <v>-</v>
      </c>
      <c r="H286" s="32" t="str" cm="1">
        <f t="array" ref="H286">IF(A286="","-",A286-_xlfn.XLOOKUP($L$3,$E$2:E285,$A$2:A285,,FALSE,-1))</f>
        <v>-</v>
      </c>
      <c r="I286" s="32" t="str">
        <f t="shared" si="19"/>
        <v>-</v>
      </c>
    </row>
    <row r="287" spans="5:9" x14ac:dyDescent="0.25">
      <c r="E287" s="43" t="str">
        <f t="shared" si="16"/>
        <v>-</v>
      </c>
      <c r="F287" s="31" t="str">
        <f t="shared" si="17"/>
        <v>-</v>
      </c>
      <c r="G287" s="32" t="str">
        <f t="shared" si="18"/>
        <v>-</v>
      </c>
      <c r="H287" s="32" t="str" cm="1">
        <f t="array" ref="H287">IF(A287="","-",A287-_xlfn.XLOOKUP($L$3,$E$2:E286,$A$2:A286,,FALSE,-1))</f>
        <v>-</v>
      </c>
      <c r="I287" s="32" t="str">
        <f t="shared" si="19"/>
        <v>-</v>
      </c>
    </row>
    <row r="288" spans="5:9" x14ac:dyDescent="0.25">
      <c r="E288" s="43" t="str">
        <f t="shared" si="16"/>
        <v>-</v>
      </c>
      <c r="F288" s="31" t="str">
        <f t="shared" si="17"/>
        <v>-</v>
      </c>
      <c r="G288" s="32" t="str">
        <f t="shared" si="18"/>
        <v>-</v>
      </c>
      <c r="H288" s="32" t="str" cm="1">
        <f t="array" ref="H288">IF(A288="","-",A288-_xlfn.XLOOKUP($L$3,$E$2:E287,$A$2:A287,,FALSE,-1))</f>
        <v>-</v>
      </c>
      <c r="I288" s="32" t="str">
        <f t="shared" si="19"/>
        <v>-</v>
      </c>
    </row>
    <row r="289" spans="5:9" x14ac:dyDescent="0.25">
      <c r="E289" s="43" t="str">
        <f t="shared" si="16"/>
        <v>-</v>
      </c>
      <c r="F289" s="31" t="str">
        <f t="shared" si="17"/>
        <v>-</v>
      </c>
      <c r="G289" s="32" t="str">
        <f t="shared" si="18"/>
        <v>-</v>
      </c>
      <c r="H289" s="32" t="str" cm="1">
        <f t="array" ref="H289">IF(A289="","-",A289-_xlfn.XLOOKUP($L$3,$E$2:E288,$A$2:A288,,FALSE,-1))</f>
        <v>-</v>
      </c>
      <c r="I289" s="32" t="str">
        <f t="shared" si="19"/>
        <v>-</v>
      </c>
    </row>
    <row r="290" spans="5:9" x14ac:dyDescent="0.25">
      <c r="E290" s="43" t="str">
        <f t="shared" si="16"/>
        <v>-</v>
      </c>
      <c r="F290" s="31" t="str">
        <f t="shared" si="17"/>
        <v>-</v>
      </c>
      <c r="G290" s="32" t="str">
        <f t="shared" si="18"/>
        <v>-</v>
      </c>
      <c r="H290" s="32" t="str" cm="1">
        <f t="array" ref="H290">IF(A290="","-",A290-_xlfn.XLOOKUP($L$3,$E$2:E289,$A$2:A289,,FALSE,-1))</f>
        <v>-</v>
      </c>
      <c r="I290" s="32" t="str">
        <f t="shared" si="19"/>
        <v>-</v>
      </c>
    </row>
    <row r="291" spans="5:9" x14ac:dyDescent="0.25">
      <c r="E291" s="43" t="str">
        <f t="shared" si="16"/>
        <v>-</v>
      </c>
      <c r="F291" s="31" t="str">
        <f t="shared" si="17"/>
        <v>-</v>
      </c>
      <c r="G291" s="32" t="str">
        <f t="shared" si="18"/>
        <v>-</v>
      </c>
      <c r="H291" s="32" t="str" cm="1">
        <f t="array" ref="H291">IF(A291="","-",A291-_xlfn.XLOOKUP($L$3,$E$2:E290,$A$2:A290,,FALSE,-1))</f>
        <v>-</v>
      </c>
      <c r="I291" s="32" t="str">
        <f t="shared" si="19"/>
        <v>-</v>
      </c>
    </row>
    <row r="292" spans="5:9" x14ac:dyDescent="0.25">
      <c r="E292" s="43" t="str">
        <f t="shared" si="16"/>
        <v>-</v>
      </c>
      <c r="F292" s="31" t="str">
        <f t="shared" si="17"/>
        <v>-</v>
      </c>
      <c r="G292" s="32" t="str">
        <f t="shared" si="18"/>
        <v>-</v>
      </c>
      <c r="H292" s="32" t="str" cm="1">
        <f t="array" ref="H292">IF(A292="","-",A292-_xlfn.XLOOKUP($L$3,$E$2:E291,$A$2:A291,,FALSE,-1))</f>
        <v>-</v>
      </c>
      <c r="I292" s="32" t="str">
        <f t="shared" si="19"/>
        <v>-</v>
      </c>
    </row>
    <row r="293" spans="5:9" x14ac:dyDescent="0.25">
      <c r="E293" s="43" t="str">
        <f t="shared" si="16"/>
        <v>-</v>
      </c>
      <c r="F293" s="31" t="str">
        <f t="shared" si="17"/>
        <v>-</v>
      </c>
      <c r="G293" s="32" t="str">
        <f t="shared" si="18"/>
        <v>-</v>
      </c>
      <c r="H293" s="32" t="str" cm="1">
        <f t="array" ref="H293">IF(A293="","-",A293-_xlfn.XLOOKUP($L$3,$E$2:E292,$A$2:A292,,FALSE,-1))</f>
        <v>-</v>
      </c>
      <c r="I293" s="32" t="str">
        <f t="shared" si="19"/>
        <v>-</v>
      </c>
    </row>
    <row r="294" spans="5:9" x14ac:dyDescent="0.25">
      <c r="E294" s="43" t="str">
        <f t="shared" si="16"/>
        <v>-</v>
      </c>
      <c r="F294" s="31" t="str">
        <f t="shared" si="17"/>
        <v>-</v>
      </c>
      <c r="G294" s="32" t="str">
        <f t="shared" si="18"/>
        <v>-</v>
      </c>
      <c r="H294" s="32" t="str" cm="1">
        <f t="array" ref="H294">IF(A294="","-",A294-_xlfn.XLOOKUP($L$3,$E$2:E293,$A$2:A293,,FALSE,-1))</f>
        <v>-</v>
      </c>
      <c r="I294" s="32" t="str">
        <f t="shared" si="19"/>
        <v>-</v>
      </c>
    </row>
    <row r="295" spans="5:9" x14ac:dyDescent="0.25">
      <c r="E295" s="43" t="str">
        <f t="shared" si="16"/>
        <v>-</v>
      </c>
      <c r="F295" s="31" t="str">
        <f t="shared" si="17"/>
        <v>-</v>
      </c>
      <c r="G295" s="32" t="str">
        <f t="shared" si="18"/>
        <v>-</v>
      </c>
      <c r="H295" s="32" t="str" cm="1">
        <f t="array" ref="H295">IF(A295="","-",A295-_xlfn.XLOOKUP($L$3,$E$2:E294,$A$2:A294,,FALSE,-1))</f>
        <v>-</v>
      </c>
      <c r="I295" s="32" t="str">
        <f t="shared" si="19"/>
        <v>-</v>
      </c>
    </row>
    <row r="296" spans="5:9" x14ac:dyDescent="0.25">
      <c r="E296" s="43" t="str">
        <f t="shared" si="16"/>
        <v>-</v>
      </c>
      <c r="F296" s="31" t="str">
        <f t="shared" si="17"/>
        <v>-</v>
      </c>
      <c r="G296" s="32" t="str">
        <f t="shared" si="18"/>
        <v>-</v>
      </c>
      <c r="H296" s="32" t="str" cm="1">
        <f t="array" ref="H296">IF(A296="","-",A296-_xlfn.XLOOKUP($L$3,$E$2:E295,$A$2:A295,,FALSE,-1))</f>
        <v>-</v>
      </c>
      <c r="I296" s="32" t="str">
        <f t="shared" si="19"/>
        <v>-</v>
      </c>
    </row>
    <row r="297" spans="5:9" x14ac:dyDescent="0.25">
      <c r="E297" s="43" t="str">
        <f t="shared" si="16"/>
        <v>-</v>
      </c>
      <c r="F297" s="31" t="str">
        <f t="shared" si="17"/>
        <v>-</v>
      </c>
      <c r="G297" s="32" t="str">
        <f t="shared" si="18"/>
        <v>-</v>
      </c>
      <c r="H297" s="32" t="str" cm="1">
        <f t="array" ref="H297">IF(A297="","-",A297-_xlfn.XLOOKUP($L$3,$E$2:E296,$A$2:A296,,FALSE,-1))</f>
        <v>-</v>
      </c>
      <c r="I297" s="32" t="str">
        <f t="shared" si="19"/>
        <v>-</v>
      </c>
    </row>
    <row r="298" spans="5:9" x14ac:dyDescent="0.25">
      <c r="E298" s="43" t="str">
        <f t="shared" si="16"/>
        <v>-</v>
      </c>
      <c r="F298" s="31" t="str">
        <f t="shared" si="17"/>
        <v>-</v>
      </c>
      <c r="G298" s="32" t="str">
        <f t="shared" si="18"/>
        <v>-</v>
      </c>
      <c r="H298" s="32" t="str" cm="1">
        <f t="array" ref="H298">IF(A298="","-",A298-_xlfn.XLOOKUP($L$3,$E$2:E297,$A$2:A297,,FALSE,-1))</f>
        <v>-</v>
      </c>
      <c r="I298" s="32" t="str">
        <f t="shared" si="19"/>
        <v>-</v>
      </c>
    </row>
    <row r="299" spans="5:9" x14ac:dyDescent="0.25">
      <c r="E299" s="43" t="str">
        <f t="shared" si="16"/>
        <v>-</v>
      </c>
      <c r="F299" s="31" t="str">
        <f t="shared" si="17"/>
        <v>-</v>
      </c>
      <c r="G299" s="32" t="str">
        <f t="shared" si="18"/>
        <v>-</v>
      </c>
      <c r="H299" s="32" t="str" cm="1">
        <f t="array" ref="H299">IF(A299="","-",A299-_xlfn.XLOOKUP($L$3,$E$2:E298,$A$2:A298,,FALSE,-1))</f>
        <v>-</v>
      </c>
      <c r="I299" s="32" t="str">
        <f t="shared" si="19"/>
        <v>-</v>
      </c>
    </row>
    <row r="300" spans="5:9" x14ac:dyDescent="0.25">
      <c r="E300" s="43" t="str">
        <f t="shared" si="16"/>
        <v>-</v>
      </c>
      <c r="F300" s="31" t="str">
        <f t="shared" si="17"/>
        <v>-</v>
      </c>
      <c r="G300" s="32" t="str">
        <f t="shared" si="18"/>
        <v>-</v>
      </c>
      <c r="H300" s="32" t="str" cm="1">
        <f t="array" ref="H300">IF(A300="","-",A300-_xlfn.XLOOKUP($L$3,$E$2:E299,$A$2:A299,,FALSE,-1))</f>
        <v>-</v>
      </c>
      <c r="I300" s="32" t="str">
        <f t="shared" si="19"/>
        <v>-</v>
      </c>
    </row>
    <row r="301" spans="5:9" x14ac:dyDescent="0.25">
      <c r="E301" s="43" t="str">
        <f t="shared" si="16"/>
        <v>-</v>
      </c>
      <c r="F301" s="31" t="str">
        <f t="shared" si="17"/>
        <v>-</v>
      </c>
      <c r="G301" s="32" t="str">
        <f t="shared" si="18"/>
        <v>-</v>
      </c>
      <c r="H301" s="32" t="str" cm="1">
        <f t="array" ref="H301">IF(A301="","-",A301-_xlfn.XLOOKUP($L$3,$E$2:E300,$A$2:A300,,FALSE,-1))</f>
        <v>-</v>
      </c>
      <c r="I301" s="32" t="str">
        <f t="shared" si="19"/>
        <v>-</v>
      </c>
    </row>
    <row r="302" spans="5:9" x14ac:dyDescent="0.25">
      <c r="E302" s="43" t="str">
        <f t="shared" si="16"/>
        <v>-</v>
      </c>
      <c r="F302" s="31" t="str">
        <f t="shared" si="17"/>
        <v>-</v>
      </c>
      <c r="G302" s="32" t="str">
        <f t="shared" si="18"/>
        <v>-</v>
      </c>
      <c r="H302" s="32" t="str" cm="1">
        <f t="array" ref="H302">IF(A302="","-",A302-_xlfn.XLOOKUP($L$3,$E$2:E301,$A$2:A301,,FALSE,-1))</f>
        <v>-</v>
      </c>
      <c r="I302" s="32" t="str">
        <f t="shared" si="19"/>
        <v>-</v>
      </c>
    </row>
    <row r="303" spans="5:9" x14ac:dyDescent="0.25">
      <c r="E303" s="43" t="str">
        <f t="shared" si="16"/>
        <v>-</v>
      </c>
      <c r="F303" s="31" t="str">
        <f t="shared" si="17"/>
        <v>-</v>
      </c>
      <c r="G303" s="32" t="str">
        <f t="shared" si="18"/>
        <v>-</v>
      </c>
      <c r="H303" s="32" t="str" cm="1">
        <f t="array" ref="H303">IF(A303="","-",A303-_xlfn.XLOOKUP($L$3,$E$2:E302,$A$2:A302,,FALSE,-1))</f>
        <v>-</v>
      </c>
      <c r="I303" s="32" t="str">
        <f t="shared" si="19"/>
        <v>-</v>
      </c>
    </row>
    <row r="304" spans="5:9" x14ac:dyDescent="0.25">
      <c r="E304" s="43" t="str">
        <f t="shared" si="16"/>
        <v>-</v>
      </c>
      <c r="F304" s="31" t="str">
        <f t="shared" si="17"/>
        <v>-</v>
      </c>
      <c r="G304" s="32" t="str">
        <f t="shared" si="18"/>
        <v>-</v>
      </c>
      <c r="H304" s="32" t="str" cm="1">
        <f t="array" ref="H304">IF(A304="","-",A304-_xlfn.XLOOKUP($L$3,$E$2:E303,$A$2:A303,,FALSE,-1))</f>
        <v>-</v>
      </c>
      <c r="I304" s="32" t="str">
        <f t="shared" si="19"/>
        <v>-</v>
      </c>
    </row>
    <row r="305" spans="5:9" x14ac:dyDescent="0.25">
      <c r="E305" s="43" t="str">
        <f t="shared" si="16"/>
        <v>-</v>
      </c>
      <c r="F305" s="31" t="str">
        <f t="shared" si="17"/>
        <v>-</v>
      </c>
      <c r="G305" s="32" t="str">
        <f t="shared" si="18"/>
        <v>-</v>
      </c>
      <c r="H305" s="32" t="str" cm="1">
        <f t="array" ref="H305">IF(A305="","-",A305-_xlfn.XLOOKUP($L$3,$E$2:E304,$A$2:A304,,FALSE,-1))</f>
        <v>-</v>
      </c>
      <c r="I305" s="32" t="str">
        <f t="shared" si="19"/>
        <v>-</v>
      </c>
    </row>
    <row r="306" spans="5:9" x14ac:dyDescent="0.25">
      <c r="E306" s="43" t="str">
        <f t="shared" si="16"/>
        <v>-</v>
      </c>
      <c r="F306" s="31" t="str">
        <f t="shared" si="17"/>
        <v>-</v>
      </c>
      <c r="G306" s="32" t="str">
        <f t="shared" si="18"/>
        <v>-</v>
      </c>
      <c r="H306" s="32" t="str" cm="1">
        <f t="array" ref="H306">IF(A306="","-",A306-_xlfn.XLOOKUP($L$3,$E$2:E305,$A$2:A305,,FALSE,-1))</f>
        <v>-</v>
      </c>
      <c r="I306" s="32" t="str">
        <f t="shared" si="19"/>
        <v>-</v>
      </c>
    </row>
    <row r="307" spans="5:9" x14ac:dyDescent="0.25">
      <c r="E307" s="43" t="str">
        <f t="shared" si="16"/>
        <v>-</v>
      </c>
      <c r="F307" s="31" t="str">
        <f t="shared" si="17"/>
        <v>-</v>
      </c>
      <c r="G307" s="32" t="str">
        <f t="shared" si="18"/>
        <v>-</v>
      </c>
      <c r="H307" s="32" t="str" cm="1">
        <f t="array" ref="H307">IF(A307="","-",A307-_xlfn.XLOOKUP($L$3,$E$2:E306,$A$2:A306,,FALSE,-1))</f>
        <v>-</v>
      </c>
      <c r="I307" s="32" t="str">
        <f t="shared" si="19"/>
        <v>-</v>
      </c>
    </row>
    <row r="308" spans="5:9" x14ac:dyDescent="0.25">
      <c r="E308" s="43" t="str">
        <f t="shared" si="16"/>
        <v>-</v>
      </c>
      <c r="F308" s="31" t="str">
        <f t="shared" si="17"/>
        <v>-</v>
      </c>
      <c r="G308" s="32" t="str">
        <f t="shared" si="18"/>
        <v>-</v>
      </c>
      <c r="H308" s="32" t="str" cm="1">
        <f t="array" ref="H308">IF(A308="","-",A308-_xlfn.XLOOKUP($L$3,$E$2:E307,$A$2:A307,,FALSE,-1))</f>
        <v>-</v>
      </c>
      <c r="I308" s="32" t="str">
        <f t="shared" si="19"/>
        <v>-</v>
      </c>
    </row>
    <row r="309" spans="5:9" x14ac:dyDescent="0.25">
      <c r="E309" s="43" t="str">
        <f t="shared" si="16"/>
        <v>-</v>
      </c>
      <c r="F309" s="31" t="str">
        <f t="shared" si="17"/>
        <v>-</v>
      </c>
      <c r="G309" s="32" t="str">
        <f t="shared" si="18"/>
        <v>-</v>
      </c>
      <c r="H309" s="32" t="str" cm="1">
        <f t="array" ref="H309">IF(A309="","-",A309-_xlfn.XLOOKUP($L$3,$E$2:E308,$A$2:A308,,FALSE,-1))</f>
        <v>-</v>
      </c>
      <c r="I309" s="32" t="str">
        <f t="shared" si="19"/>
        <v>-</v>
      </c>
    </row>
    <row r="310" spans="5:9" x14ac:dyDescent="0.25">
      <c r="E310" s="43" t="str">
        <f t="shared" si="16"/>
        <v>-</v>
      </c>
      <c r="F310" s="31" t="str">
        <f t="shared" si="17"/>
        <v>-</v>
      </c>
      <c r="G310" s="32" t="str">
        <f t="shared" si="18"/>
        <v>-</v>
      </c>
      <c r="H310" s="32" t="str" cm="1">
        <f t="array" ref="H310">IF(A310="","-",A310-_xlfn.XLOOKUP($L$3,$E$2:E309,$A$2:A309,,FALSE,-1))</f>
        <v>-</v>
      </c>
      <c r="I310" s="32" t="str">
        <f t="shared" si="19"/>
        <v>-</v>
      </c>
    </row>
    <row r="311" spans="5:9" x14ac:dyDescent="0.25">
      <c r="E311" s="43" t="str">
        <f t="shared" si="16"/>
        <v>-</v>
      </c>
      <c r="F311" s="31" t="str">
        <f t="shared" si="17"/>
        <v>-</v>
      </c>
      <c r="G311" s="32" t="str">
        <f t="shared" si="18"/>
        <v>-</v>
      </c>
      <c r="H311" s="32" t="str" cm="1">
        <f t="array" ref="H311">IF(A311="","-",A311-_xlfn.XLOOKUP($L$3,$E$2:E310,$A$2:A310,,FALSE,-1))</f>
        <v>-</v>
      </c>
      <c r="I311" s="32" t="str">
        <f t="shared" si="19"/>
        <v>-</v>
      </c>
    </row>
    <row r="312" spans="5:9" x14ac:dyDescent="0.25">
      <c r="E312" s="43" t="str">
        <f t="shared" si="16"/>
        <v>-</v>
      </c>
      <c r="F312" s="31" t="str">
        <f t="shared" si="17"/>
        <v>-</v>
      </c>
      <c r="G312" s="32" t="str">
        <f t="shared" si="18"/>
        <v>-</v>
      </c>
      <c r="H312" s="32" t="str" cm="1">
        <f t="array" ref="H312">IF(A312="","-",A312-_xlfn.XLOOKUP($L$3,$E$2:E311,$A$2:A311,,FALSE,-1))</f>
        <v>-</v>
      </c>
      <c r="I312" s="32" t="str">
        <f t="shared" si="19"/>
        <v>-</v>
      </c>
    </row>
    <row r="313" spans="5:9" x14ac:dyDescent="0.25">
      <c r="E313" s="43" t="str">
        <f t="shared" si="16"/>
        <v>-</v>
      </c>
      <c r="F313" s="31" t="str">
        <f t="shared" si="17"/>
        <v>-</v>
      </c>
      <c r="G313" s="32" t="str">
        <f t="shared" si="18"/>
        <v>-</v>
      </c>
      <c r="H313" s="32" t="str" cm="1">
        <f t="array" ref="H313">IF(A313="","-",A313-_xlfn.XLOOKUP($L$3,$E$2:E312,$A$2:A312,,FALSE,-1))</f>
        <v>-</v>
      </c>
      <c r="I313" s="32" t="str">
        <f t="shared" si="19"/>
        <v>-</v>
      </c>
    </row>
    <row r="314" spans="5:9" x14ac:dyDescent="0.25">
      <c r="E314" s="43" t="str">
        <f t="shared" si="16"/>
        <v>-</v>
      </c>
      <c r="F314" s="31" t="str">
        <f t="shared" si="17"/>
        <v>-</v>
      </c>
      <c r="G314" s="32" t="str">
        <f t="shared" si="18"/>
        <v>-</v>
      </c>
      <c r="H314" s="32" t="str" cm="1">
        <f t="array" ref="H314">IF(A314="","-",A314-_xlfn.XLOOKUP($L$3,$E$2:E313,$A$2:A313,,FALSE,-1))</f>
        <v>-</v>
      </c>
      <c r="I314" s="32" t="str">
        <f t="shared" si="19"/>
        <v>-</v>
      </c>
    </row>
    <row r="315" spans="5:9" x14ac:dyDescent="0.25">
      <c r="E315" s="43" t="str">
        <f t="shared" si="16"/>
        <v>-</v>
      </c>
      <c r="F315" s="31" t="str">
        <f t="shared" si="17"/>
        <v>-</v>
      </c>
      <c r="G315" s="32" t="str">
        <f t="shared" si="18"/>
        <v>-</v>
      </c>
      <c r="H315" s="32" t="str" cm="1">
        <f t="array" ref="H315">IF(A315="","-",A315-_xlfn.XLOOKUP($L$3,$E$2:E314,$A$2:A314,,FALSE,-1))</f>
        <v>-</v>
      </c>
      <c r="I315" s="32" t="str">
        <f t="shared" si="19"/>
        <v>-</v>
      </c>
    </row>
    <row r="316" spans="5:9" x14ac:dyDescent="0.25">
      <c r="E316" s="43" t="str">
        <f t="shared" si="16"/>
        <v>-</v>
      </c>
      <c r="F316" s="31" t="str">
        <f t="shared" si="17"/>
        <v>-</v>
      </c>
      <c r="G316" s="32" t="str">
        <f t="shared" si="18"/>
        <v>-</v>
      </c>
      <c r="H316" s="32" t="str" cm="1">
        <f t="array" ref="H316">IF(A316="","-",A316-_xlfn.XLOOKUP($L$3,$E$2:E315,$A$2:A315,,FALSE,-1))</f>
        <v>-</v>
      </c>
      <c r="I316" s="32" t="str">
        <f t="shared" si="19"/>
        <v>-</v>
      </c>
    </row>
    <row r="317" spans="5:9" x14ac:dyDescent="0.25">
      <c r="E317" s="43" t="str">
        <f t="shared" si="16"/>
        <v>-</v>
      </c>
      <c r="F317" s="31" t="str">
        <f t="shared" si="17"/>
        <v>-</v>
      </c>
      <c r="G317" s="32" t="str">
        <f t="shared" si="18"/>
        <v>-</v>
      </c>
      <c r="H317" s="32" t="str" cm="1">
        <f t="array" ref="H317">IF(A317="","-",A317-_xlfn.XLOOKUP($L$3,$E$2:E316,$A$2:A316,,FALSE,-1))</f>
        <v>-</v>
      </c>
      <c r="I317" s="32" t="str">
        <f t="shared" si="19"/>
        <v>-</v>
      </c>
    </row>
    <row r="318" spans="5:9" x14ac:dyDescent="0.25">
      <c r="E318" s="43" t="str">
        <f t="shared" si="16"/>
        <v>-</v>
      </c>
      <c r="F318" s="31" t="str">
        <f t="shared" si="17"/>
        <v>-</v>
      </c>
      <c r="G318" s="32" t="str">
        <f t="shared" si="18"/>
        <v>-</v>
      </c>
      <c r="H318" s="32" t="str" cm="1">
        <f t="array" ref="H318">IF(A318="","-",A318-_xlfn.XLOOKUP($L$3,$E$2:E317,$A$2:A317,,FALSE,-1))</f>
        <v>-</v>
      </c>
      <c r="I318" s="32" t="str">
        <f t="shared" si="19"/>
        <v>-</v>
      </c>
    </row>
    <row r="319" spans="5:9" x14ac:dyDescent="0.25">
      <c r="E319" s="43" t="str">
        <f t="shared" si="16"/>
        <v>-</v>
      </c>
      <c r="F319" s="31" t="str">
        <f t="shared" si="17"/>
        <v>-</v>
      </c>
      <c r="G319" s="32" t="str">
        <f t="shared" si="18"/>
        <v>-</v>
      </c>
      <c r="H319" s="32" t="str" cm="1">
        <f t="array" ref="H319">IF(A319="","-",A319-_xlfn.XLOOKUP($L$3,$E$2:E318,$A$2:A318,,FALSE,-1))</f>
        <v>-</v>
      </c>
      <c r="I319" s="32" t="str">
        <f t="shared" si="19"/>
        <v>-</v>
      </c>
    </row>
    <row r="320" spans="5:9" x14ac:dyDescent="0.25">
      <c r="E320" s="43" t="str">
        <f t="shared" si="16"/>
        <v>-</v>
      </c>
      <c r="F320" s="31" t="str">
        <f t="shared" si="17"/>
        <v>-</v>
      </c>
      <c r="G320" s="32" t="str">
        <f t="shared" si="18"/>
        <v>-</v>
      </c>
      <c r="H320" s="32" t="str" cm="1">
        <f t="array" ref="H320">IF(A320="","-",A320-_xlfn.XLOOKUP($L$3,$E$2:E319,$A$2:A319,,FALSE,-1))</f>
        <v>-</v>
      </c>
      <c r="I320" s="32" t="str">
        <f t="shared" si="19"/>
        <v>-</v>
      </c>
    </row>
    <row r="321" spans="5:9" x14ac:dyDescent="0.25">
      <c r="E321" s="43" t="str">
        <f t="shared" si="16"/>
        <v>-</v>
      </c>
      <c r="F321" s="31" t="str">
        <f t="shared" si="17"/>
        <v>-</v>
      </c>
      <c r="G321" s="32" t="str">
        <f t="shared" si="18"/>
        <v>-</v>
      </c>
      <c r="H321" s="32" t="str" cm="1">
        <f t="array" ref="H321">IF(A321="","-",A321-_xlfn.XLOOKUP($L$3,$E$2:E320,$A$2:A320,,FALSE,-1))</f>
        <v>-</v>
      </c>
      <c r="I321" s="32" t="str">
        <f t="shared" si="19"/>
        <v>-</v>
      </c>
    </row>
    <row r="322" spans="5:9" x14ac:dyDescent="0.25">
      <c r="E322" s="43" t="str">
        <f t="shared" si="16"/>
        <v>-</v>
      </c>
      <c r="F322" s="31" t="str">
        <f t="shared" si="17"/>
        <v>-</v>
      </c>
      <c r="G322" s="32" t="str">
        <f t="shared" si="18"/>
        <v>-</v>
      </c>
      <c r="H322" s="32" t="str" cm="1">
        <f t="array" ref="H322">IF(A322="","-",A322-_xlfn.XLOOKUP($L$3,$E$2:E321,$A$2:A321,,FALSE,-1))</f>
        <v>-</v>
      </c>
      <c r="I322" s="32" t="str">
        <f t="shared" si="19"/>
        <v>-</v>
      </c>
    </row>
    <row r="323" spans="5:9" x14ac:dyDescent="0.25">
      <c r="E323" s="43" t="str">
        <f t="shared" ref="E323:E386" si="20">IF(A323="","-",VLOOKUP(C323,$L$3:$O$8,2,FALSE))</f>
        <v>-</v>
      </c>
      <c r="F323" s="31" t="str">
        <f t="shared" ref="F323:F386" si="21">IF(A323="","-",IF(OR(C323=$L$10,C323=$L$11,C323=$L$12),MID(SUBSTITUTE(D323,".",","),1,FIND("(",SUBSTITUTE(D323,".",","))-1)*1,D323))</f>
        <v>-</v>
      </c>
      <c r="G323" s="32" t="str">
        <f t="shared" ref="G323:G386" si="22">IF(A323="","-",A323-A322)</f>
        <v>-</v>
      </c>
      <c r="H323" s="32" t="str" cm="1">
        <f t="array" ref="H323">IF(A323="","-",A323-_xlfn.XLOOKUP($L$3,$E$2:E322,$A$2:A322,,FALSE,-1))</f>
        <v>-</v>
      </c>
      <c r="I323" s="32" t="str">
        <f t="shared" ref="I323:I386" si="23">IF(A323="","-",A323-0.00173611111111116)</f>
        <v>-</v>
      </c>
    </row>
    <row r="324" spans="5:9" x14ac:dyDescent="0.25">
      <c r="E324" s="43" t="str">
        <f t="shared" si="20"/>
        <v>-</v>
      </c>
      <c r="F324" s="31" t="str">
        <f t="shared" si="21"/>
        <v>-</v>
      </c>
      <c r="G324" s="32" t="str">
        <f t="shared" si="22"/>
        <v>-</v>
      </c>
      <c r="H324" s="32" t="str" cm="1">
        <f t="array" ref="H324">IF(A324="","-",A324-_xlfn.XLOOKUP($L$3,$E$2:E323,$A$2:A323,,FALSE,-1))</f>
        <v>-</v>
      </c>
      <c r="I324" s="32" t="str">
        <f t="shared" si="23"/>
        <v>-</v>
      </c>
    </row>
    <row r="325" spans="5:9" x14ac:dyDescent="0.25">
      <c r="E325" s="43" t="str">
        <f t="shared" si="20"/>
        <v>-</v>
      </c>
      <c r="F325" s="31" t="str">
        <f t="shared" si="21"/>
        <v>-</v>
      </c>
      <c r="G325" s="32" t="str">
        <f t="shared" si="22"/>
        <v>-</v>
      </c>
      <c r="H325" s="32" t="str" cm="1">
        <f t="array" ref="H325">IF(A325="","-",A325-_xlfn.XLOOKUP($L$3,$E$2:E324,$A$2:A324,,FALSE,-1))</f>
        <v>-</v>
      </c>
      <c r="I325" s="32" t="str">
        <f t="shared" si="23"/>
        <v>-</v>
      </c>
    </row>
    <row r="326" spans="5:9" x14ac:dyDescent="0.25">
      <c r="E326" s="43" t="str">
        <f t="shared" si="20"/>
        <v>-</v>
      </c>
      <c r="F326" s="31" t="str">
        <f t="shared" si="21"/>
        <v>-</v>
      </c>
      <c r="G326" s="32" t="str">
        <f t="shared" si="22"/>
        <v>-</v>
      </c>
      <c r="H326" s="32" t="str" cm="1">
        <f t="array" ref="H326">IF(A326="","-",A326-_xlfn.XLOOKUP($L$3,$E$2:E325,$A$2:A325,,FALSE,-1))</f>
        <v>-</v>
      </c>
      <c r="I326" s="32" t="str">
        <f t="shared" si="23"/>
        <v>-</v>
      </c>
    </row>
    <row r="327" spans="5:9" x14ac:dyDescent="0.25">
      <c r="E327" s="43" t="str">
        <f t="shared" si="20"/>
        <v>-</v>
      </c>
      <c r="F327" s="31" t="str">
        <f t="shared" si="21"/>
        <v>-</v>
      </c>
      <c r="G327" s="32" t="str">
        <f t="shared" si="22"/>
        <v>-</v>
      </c>
      <c r="H327" s="32" t="str" cm="1">
        <f t="array" ref="H327">IF(A327="","-",A327-_xlfn.XLOOKUP($L$3,$E$2:E326,$A$2:A326,,FALSE,-1))</f>
        <v>-</v>
      </c>
      <c r="I327" s="32" t="str">
        <f t="shared" si="23"/>
        <v>-</v>
      </c>
    </row>
    <row r="328" spans="5:9" x14ac:dyDescent="0.25">
      <c r="E328" s="43" t="str">
        <f t="shared" si="20"/>
        <v>-</v>
      </c>
      <c r="F328" s="31" t="str">
        <f t="shared" si="21"/>
        <v>-</v>
      </c>
      <c r="G328" s="32" t="str">
        <f t="shared" si="22"/>
        <v>-</v>
      </c>
      <c r="H328" s="32" t="str" cm="1">
        <f t="array" ref="H328">IF(A328="","-",A328-_xlfn.XLOOKUP($L$3,$E$2:E327,$A$2:A327,,FALSE,-1))</f>
        <v>-</v>
      </c>
      <c r="I328" s="32" t="str">
        <f t="shared" si="23"/>
        <v>-</v>
      </c>
    </row>
    <row r="329" spans="5:9" x14ac:dyDescent="0.25">
      <c r="E329" s="43" t="str">
        <f t="shared" si="20"/>
        <v>-</v>
      </c>
      <c r="F329" s="31" t="str">
        <f t="shared" si="21"/>
        <v>-</v>
      </c>
      <c r="G329" s="32" t="str">
        <f t="shared" si="22"/>
        <v>-</v>
      </c>
      <c r="H329" s="32" t="str" cm="1">
        <f t="array" ref="H329">IF(A329="","-",A329-_xlfn.XLOOKUP($L$3,$E$2:E328,$A$2:A328,,FALSE,-1))</f>
        <v>-</v>
      </c>
      <c r="I329" s="32" t="str">
        <f t="shared" si="23"/>
        <v>-</v>
      </c>
    </row>
    <row r="330" spans="5:9" x14ac:dyDescent="0.25">
      <c r="E330" s="43" t="str">
        <f t="shared" si="20"/>
        <v>-</v>
      </c>
      <c r="F330" s="31" t="str">
        <f t="shared" si="21"/>
        <v>-</v>
      </c>
      <c r="G330" s="32" t="str">
        <f t="shared" si="22"/>
        <v>-</v>
      </c>
      <c r="H330" s="32" t="str" cm="1">
        <f t="array" ref="H330">IF(A330="","-",A330-_xlfn.XLOOKUP($L$3,$E$2:E329,$A$2:A329,,FALSE,-1))</f>
        <v>-</v>
      </c>
      <c r="I330" s="32" t="str">
        <f t="shared" si="23"/>
        <v>-</v>
      </c>
    </row>
    <row r="331" spans="5:9" x14ac:dyDescent="0.25">
      <c r="E331" s="43" t="str">
        <f t="shared" si="20"/>
        <v>-</v>
      </c>
      <c r="F331" s="31" t="str">
        <f t="shared" si="21"/>
        <v>-</v>
      </c>
      <c r="G331" s="32" t="str">
        <f t="shared" si="22"/>
        <v>-</v>
      </c>
      <c r="H331" s="32" t="str" cm="1">
        <f t="array" ref="H331">IF(A331="","-",A331-_xlfn.XLOOKUP($L$3,$E$2:E330,$A$2:A330,,FALSE,-1))</f>
        <v>-</v>
      </c>
      <c r="I331" s="32" t="str">
        <f t="shared" si="23"/>
        <v>-</v>
      </c>
    </row>
    <row r="332" spans="5:9" x14ac:dyDescent="0.25">
      <c r="E332" s="43" t="str">
        <f t="shared" si="20"/>
        <v>-</v>
      </c>
      <c r="F332" s="31" t="str">
        <f t="shared" si="21"/>
        <v>-</v>
      </c>
      <c r="G332" s="32" t="str">
        <f t="shared" si="22"/>
        <v>-</v>
      </c>
      <c r="H332" s="32" t="str" cm="1">
        <f t="array" ref="H332">IF(A332="","-",A332-_xlfn.XLOOKUP($L$3,$E$2:E331,$A$2:A331,,FALSE,-1))</f>
        <v>-</v>
      </c>
      <c r="I332" s="32" t="str">
        <f t="shared" si="23"/>
        <v>-</v>
      </c>
    </row>
    <row r="333" spans="5:9" x14ac:dyDescent="0.25">
      <c r="E333" s="43" t="str">
        <f t="shared" si="20"/>
        <v>-</v>
      </c>
      <c r="F333" s="31" t="str">
        <f t="shared" si="21"/>
        <v>-</v>
      </c>
      <c r="G333" s="32" t="str">
        <f t="shared" si="22"/>
        <v>-</v>
      </c>
      <c r="H333" s="32" t="str" cm="1">
        <f t="array" ref="H333">IF(A333="","-",A333-_xlfn.XLOOKUP($L$3,$E$2:E332,$A$2:A332,,FALSE,-1))</f>
        <v>-</v>
      </c>
      <c r="I333" s="32" t="str">
        <f t="shared" si="23"/>
        <v>-</v>
      </c>
    </row>
    <row r="334" spans="5:9" x14ac:dyDescent="0.25">
      <c r="E334" s="43" t="str">
        <f t="shared" si="20"/>
        <v>-</v>
      </c>
      <c r="F334" s="31" t="str">
        <f t="shared" si="21"/>
        <v>-</v>
      </c>
      <c r="G334" s="32" t="str">
        <f t="shared" si="22"/>
        <v>-</v>
      </c>
      <c r="H334" s="32" t="str" cm="1">
        <f t="array" ref="H334">IF(A334="","-",A334-_xlfn.XLOOKUP($L$3,$E$2:E333,$A$2:A333,,FALSE,-1))</f>
        <v>-</v>
      </c>
      <c r="I334" s="32" t="str">
        <f t="shared" si="23"/>
        <v>-</v>
      </c>
    </row>
    <row r="335" spans="5:9" x14ac:dyDescent="0.25">
      <c r="E335" s="43" t="str">
        <f t="shared" si="20"/>
        <v>-</v>
      </c>
      <c r="F335" s="31" t="str">
        <f t="shared" si="21"/>
        <v>-</v>
      </c>
      <c r="G335" s="32" t="str">
        <f t="shared" si="22"/>
        <v>-</v>
      </c>
      <c r="H335" s="32" t="str" cm="1">
        <f t="array" ref="H335">IF(A335="","-",A335-_xlfn.XLOOKUP($L$3,$E$2:E334,$A$2:A334,,FALSE,-1))</f>
        <v>-</v>
      </c>
      <c r="I335" s="32" t="str">
        <f t="shared" si="23"/>
        <v>-</v>
      </c>
    </row>
    <row r="336" spans="5:9" x14ac:dyDescent="0.25">
      <c r="E336" s="43" t="str">
        <f t="shared" si="20"/>
        <v>-</v>
      </c>
      <c r="F336" s="31" t="str">
        <f t="shared" si="21"/>
        <v>-</v>
      </c>
      <c r="G336" s="32" t="str">
        <f t="shared" si="22"/>
        <v>-</v>
      </c>
      <c r="H336" s="32" t="str" cm="1">
        <f t="array" ref="H336">IF(A336="","-",A336-_xlfn.XLOOKUP($L$3,$E$2:E335,$A$2:A335,,FALSE,-1))</f>
        <v>-</v>
      </c>
      <c r="I336" s="32" t="str">
        <f t="shared" si="23"/>
        <v>-</v>
      </c>
    </row>
    <row r="337" spans="5:9" x14ac:dyDescent="0.25">
      <c r="E337" s="43" t="str">
        <f t="shared" si="20"/>
        <v>-</v>
      </c>
      <c r="F337" s="31" t="str">
        <f t="shared" si="21"/>
        <v>-</v>
      </c>
      <c r="G337" s="32" t="str">
        <f t="shared" si="22"/>
        <v>-</v>
      </c>
      <c r="H337" s="32" t="str" cm="1">
        <f t="array" ref="H337">IF(A337="","-",A337-_xlfn.XLOOKUP($L$3,$E$2:E336,$A$2:A336,,FALSE,-1))</f>
        <v>-</v>
      </c>
      <c r="I337" s="32" t="str">
        <f t="shared" si="23"/>
        <v>-</v>
      </c>
    </row>
    <row r="338" spans="5:9" x14ac:dyDescent="0.25">
      <c r="E338" s="43" t="str">
        <f t="shared" si="20"/>
        <v>-</v>
      </c>
      <c r="F338" s="31" t="str">
        <f t="shared" si="21"/>
        <v>-</v>
      </c>
      <c r="G338" s="32" t="str">
        <f t="shared" si="22"/>
        <v>-</v>
      </c>
      <c r="H338" s="32" t="str" cm="1">
        <f t="array" ref="H338">IF(A338="","-",A338-_xlfn.XLOOKUP($L$3,$E$2:E337,$A$2:A337,,FALSE,-1))</f>
        <v>-</v>
      </c>
      <c r="I338" s="32" t="str">
        <f t="shared" si="23"/>
        <v>-</v>
      </c>
    </row>
    <row r="339" spans="5:9" x14ac:dyDescent="0.25">
      <c r="E339" s="43" t="str">
        <f t="shared" si="20"/>
        <v>-</v>
      </c>
      <c r="F339" s="31" t="str">
        <f t="shared" si="21"/>
        <v>-</v>
      </c>
      <c r="G339" s="32" t="str">
        <f t="shared" si="22"/>
        <v>-</v>
      </c>
      <c r="H339" s="32" t="str" cm="1">
        <f t="array" ref="H339">IF(A339="","-",A339-_xlfn.XLOOKUP($L$3,$E$2:E338,$A$2:A338,,FALSE,-1))</f>
        <v>-</v>
      </c>
      <c r="I339" s="32" t="str">
        <f t="shared" si="23"/>
        <v>-</v>
      </c>
    </row>
    <row r="340" spans="5:9" x14ac:dyDescent="0.25">
      <c r="E340" s="43" t="str">
        <f t="shared" si="20"/>
        <v>-</v>
      </c>
      <c r="F340" s="31" t="str">
        <f t="shared" si="21"/>
        <v>-</v>
      </c>
      <c r="G340" s="32" t="str">
        <f t="shared" si="22"/>
        <v>-</v>
      </c>
      <c r="H340" s="32" t="str" cm="1">
        <f t="array" ref="H340">IF(A340="","-",A340-_xlfn.XLOOKUP($L$3,$E$2:E339,$A$2:A339,,FALSE,-1))</f>
        <v>-</v>
      </c>
      <c r="I340" s="32" t="str">
        <f t="shared" si="23"/>
        <v>-</v>
      </c>
    </row>
    <row r="341" spans="5:9" x14ac:dyDescent="0.25">
      <c r="E341" s="43" t="str">
        <f t="shared" si="20"/>
        <v>-</v>
      </c>
      <c r="F341" s="31" t="str">
        <f t="shared" si="21"/>
        <v>-</v>
      </c>
      <c r="G341" s="32" t="str">
        <f t="shared" si="22"/>
        <v>-</v>
      </c>
      <c r="H341" s="32" t="str" cm="1">
        <f t="array" ref="H341">IF(A341="","-",A341-_xlfn.XLOOKUP($L$3,$E$2:E340,$A$2:A340,,FALSE,-1))</f>
        <v>-</v>
      </c>
      <c r="I341" s="32" t="str">
        <f t="shared" si="23"/>
        <v>-</v>
      </c>
    </row>
    <row r="342" spans="5:9" x14ac:dyDescent="0.25">
      <c r="E342" s="43" t="str">
        <f t="shared" si="20"/>
        <v>-</v>
      </c>
      <c r="F342" s="31" t="str">
        <f t="shared" si="21"/>
        <v>-</v>
      </c>
      <c r="G342" s="32" t="str">
        <f t="shared" si="22"/>
        <v>-</v>
      </c>
      <c r="H342" s="32" t="str" cm="1">
        <f t="array" ref="H342">IF(A342="","-",A342-_xlfn.XLOOKUP($L$3,$E$2:E341,$A$2:A341,,FALSE,-1))</f>
        <v>-</v>
      </c>
      <c r="I342" s="32" t="str">
        <f t="shared" si="23"/>
        <v>-</v>
      </c>
    </row>
    <row r="343" spans="5:9" x14ac:dyDescent="0.25">
      <c r="E343" s="43" t="str">
        <f t="shared" si="20"/>
        <v>-</v>
      </c>
      <c r="F343" s="31" t="str">
        <f t="shared" si="21"/>
        <v>-</v>
      </c>
      <c r="G343" s="32" t="str">
        <f t="shared" si="22"/>
        <v>-</v>
      </c>
      <c r="H343" s="32" t="str" cm="1">
        <f t="array" ref="H343">IF(A343="","-",A343-_xlfn.XLOOKUP($L$3,$E$2:E342,$A$2:A342,,FALSE,-1))</f>
        <v>-</v>
      </c>
      <c r="I343" s="32" t="str">
        <f t="shared" si="23"/>
        <v>-</v>
      </c>
    </row>
    <row r="344" spans="5:9" x14ac:dyDescent="0.25">
      <c r="E344" s="43" t="str">
        <f t="shared" si="20"/>
        <v>-</v>
      </c>
      <c r="F344" s="31" t="str">
        <f t="shared" si="21"/>
        <v>-</v>
      </c>
      <c r="G344" s="32" t="str">
        <f t="shared" si="22"/>
        <v>-</v>
      </c>
      <c r="H344" s="32" t="str" cm="1">
        <f t="array" ref="H344">IF(A344="","-",A344-_xlfn.XLOOKUP($L$3,$E$2:E343,$A$2:A343,,FALSE,-1))</f>
        <v>-</v>
      </c>
      <c r="I344" s="32" t="str">
        <f t="shared" si="23"/>
        <v>-</v>
      </c>
    </row>
    <row r="345" spans="5:9" x14ac:dyDescent="0.25">
      <c r="E345" s="43" t="str">
        <f t="shared" si="20"/>
        <v>-</v>
      </c>
      <c r="F345" s="31" t="str">
        <f t="shared" si="21"/>
        <v>-</v>
      </c>
      <c r="G345" s="32" t="str">
        <f t="shared" si="22"/>
        <v>-</v>
      </c>
      <c r="H345" s="32" t="str" cm="1">
        <f t="array" ref="H345">IF(A345="","-",A345-_xlfn.XLOOKUP($L$3,$E$2:E344,$A$2:A344,,FALSE,-1))</f>
        <v>-</v>
      </c>
      <c r="I345" s="32" t="str">
        <f t="shared" si="23"/>
        <v>-</v>
      </c>
    </row>
    <row r="346" spans="5:9" x14ac:dyDescent="0.25">
      <c r="E346" s="43" t="str">
        <f t="shared" si="20"/>
        <v>-</v>
      </c>
      <c r="F346" s="31" t="str">
        <f t="shared" si="21"/>
        <v>-</v>
      </c>
      <c r="G346" s="32" t="str">
        <f t="shared" si="22"/>
        <v>-</v>
      </c>
      <c r="H346" s="32" t="str" cm="1">
        <f t="array" ref="H346">IF(A346="","-",A346-_xlfn.XLOOKUP($L$3,$E$2:E345,$A$2:A345,,FALSE,-1))</f>
        <v>-</v>
      </c>
      <c r="I346" s="32" t="str">
        <f t="shared" si="23"/>
        <v>-</v>
      </c>
    </row>
    <row r="347" spans="5:9" x14ac:dyDescent="0.25">
      <c r="E347" s="43" t="str">
        <f t="shared" si="20"/>
        <v>-</v>
      </c>
      <c r="F347" s="31" t="str">
        <f t="shared" si="21"/>
        <v>-</v>
      </c>
      <c r="G347" s="32" t="str">
        <f t="shared" si="22"/>
        <v>-</v>
      </c>
      <c r="H347" s="32" t="str" cm="1">
        <f t="array" ref="H347">IF(A347="","-",A347-_xlfn.XLOOKUP($L$3,$E$2:E346,$A$2:A346,,FALSE,-1))</f>
        <v>-</v>
      </c>
      <c r="I347" s="32" t="str">
        <f t="shared" si="23"/>
        <v>-</v>
      </c>
    </row>
    <row r="348" spans="5:9" x14ac:dyDescent="0.25">
      <c r="E348" s="43" t="str">
        <f t="shared" si="20"/>
        <v>-</v>
      </c>
      <c r="F348" s="31" t="str">
        <f t="shared" si="21"/>
        <v>-</v>
      </c>
      <c r="G348" s="32" t="str">
        <f t="shared" si="22"/>
        <v>-</v>
      </c>
      <c r="H348" s="32" t="str" cm="1">
        <f t="array" ref="H348">IF(A348="","-",A348-_xlfn.XLOOKUP($L$3,$E$2:E347,$A$2:A347,,FALSE,-1))</f>
        <v>-</v>
      </c>
      <c r="I348" s="32" t="str">
        <f t="shared" si="23"/>
        <v>-</v>
      </c>
    </row>
    <row r="349" spans="5:9" x14ac:dyDescent="0.25">
      <c r="E349" s="43" t="str">
        <f t="shared" si="20"/>
        <v>-</v>
      </c>
      <c r="F349" s="31" t="str">
        <f t="shared" si="21"/>
        <v>-</v>
      </c>
      <c r="G349" s="32" t="str">
        <f t="shared" si="22"/>
        <v>-</v>
      </c>
      <c r="H349" s="32" t="str" cm="1">
        <f t="array" ref="H349">IF(A349="","-",A349-_xlfn.XLOOKUP($L$3,$E$2:E348,$A$2:A348,,FALSE,-1))</f>
        <v>-</v>
      </c>
      <c r="I349" s="32" t="str">
        <f t="shared" si="23"/>
        <v>-</v>
      </c>
    </row>
    <row r="350" spans="5:9" x14ac:dyDescent="0.25">
      <c r="E350" s="43" t="str">
        <f t="shared" si="20"/>
        <v>-</v>
      </c>
      <c r="F350" s="31" t="str">
        <f t="shared" si="21"/>
        <v>-</v>
      </c>
      <c r="G350" s="32" t="str">
        <f t="shared" si="22"/>
        <v>-</v>
      </c>
      <c r="H350" s="32" t="str" cm="1">
        <f t="array" ref="H350">IF(A350="","-",A350-_xlfn.XLOOKUP($L$3,$E$2:E349,$A$2:A349,,FALSE,-1))</f>
        <v>-</v>
      </c>
      <c r="I350" s="32" t="str">
        <f t="shared" si="23"/>
        <v>-</v>
      </c>
    </row>
    <row r="351" spans="5:9" x14ac:dyDescent="0.25">
      <c r="E351" s="43" t="str">
        <f t="shared" si="20"/>
        <v>-</v>
      </c>
      <c r="F351" s="31" t="str">
        <f t="shared" si="21"/>
        <v>-</v>
      </c>
      <c r="G351" s="32" t="str">
        <f t="shared" si="22"/>
        <v>-</v>
      </c>
      <c r="H351" s="32" t="str" cm="1">
        <f t="array" ref="H351">IF(A351="","-",A351-_xlfn.XLOOKUP($L$3,$E$2:E350,$A$2:A350,,FALSE,-1))</f>
        <v>-</v>
      </c>
      <c r="I351" s="32" t="str">
        <f t="shared" si="23"/>
        <v>-</v>
      </c>
    </row>
    <row r="352" spans="5:9" x14ac:dyDescent="0.25">
      <c r="E352" s="43" t="str">
        <f t="shared" si="20"/>
        <v>-</v>
      </c>
      <c r="F352" s="31" t="str">
        <f t="shared" si="21"/>
        <v>-</v>
      </c>
      <c r="G352" s="32" t="str">
        <f t="shared" si="22"/>
        <v>-</v>
      </c>
      <c r="H352" s="32" t="str" cm="1">
        <f t="array" ref="H352">IF(A352="","-",A352-_xlfn.XLOOKUP($L$3,$E$2:E351,$A$2:A351,,FALSE,-1))</f>
        <v>-</v>
      </c>
      <c r="I352" s="32" t="str">
        <f t="shared" si="23"/>
        <v>-</v>
      </c>
    </row>
    <row r="353" spans="5:9" x14ac:dyDescent="0.25">
      <c r="E353" s="43" t="str">
        <f t="shared" si="20"/>
        <v>-</v>
      </c>
      <c r="F353" s="31" t="str">
        <f t="shared" si="21"/>
        <v>-</v>
      </c>
      <c r="G353" s="32" t="str">
        <f t="shared" si="22"/>
        <v>-</v>
      </c>
      <c r="H353" s="32" t="str" cm="1">
        <f t="array" ref="H353">IF(A353="","-",A353-_xlfn.XLOOKUP($L$3,$E$2:E352,$A$2:A352,,FALSE,-1))</f>
        <v>-</v>
      </c>
      <c r="I353" s="32" t="str">
        <f t="shared" si="23"/>
        <v>-</v>
      </c>
    </row>
    <row r="354" spans="5:9" x14ac:dyDescent="0.25">
      <c r="E354" s="43" t="str">
        <f t="shared" si="20"/>
        <v>-</v>
      </c>
      <c r="F354" s="31" t="str">
        <f t="shared" si="21"/>
        <v>-</v>
      </c>
      <c r="G354" s="32" t="str">
        <f t="shared" si="22"/>
        <v>-</v>
      </c>
      <c r="H354" s="32" t="str" cm="1">
        <f t="array" ref="H354">IF(A354="","-",A354-_xlfn.XLOOKUP($L$3,$E$2:E353,$A$2:A353,,FALSE,-1))</f>
        <v>-</v>
      </c>
      <c r="I354" s="32" t="str">
        <f t="shared" si="23"/>
        <v>-</v>
      </c>
    </row>
    <row r="355" spans="5:9" x14ac:dyDescent="0.25">
      <c r="E355" s="43" t="str">
        <f t="shared" si="20"/>
        <v>-</v>
      </c>
      <c r="F355" s="31" t="str">
        <f t="shared" si="21"/>
        <v>-</v>
      </c>
      <c r="G355" s="32" t="str">
        <f t="shared" si="22"/>
        <v>-</v>
      </c>
      <c r="H355" s="32" t="str" cm="1">
        <f t="array" ref="H355">IF(A355="","-",A355-_xlfn.XLOOKUP($L$3,$E$2:E354,$A$2:A354,,FALSE,-1))</f>
        <v>-</v>
      </c>
      <c r="I355" s="32" t="str">
        <f t="shared" si="23"/>
        <v>-</v>
      </c>
    </row>
    <row r="356" spans="5:9" x14ac:dyDescent="0.25">
      <c r="E356" s="43" t="str">
        <f t="shared" si="20"/>
        <v>-</v>
      </c>
      <c r="F356" s="31" t="str">
        <f t="shared" si="21"/>
        <v>-</v>
      </c>
      <c r="G356" s="32" t="str">
        <f t="shared" si="22"/>
        <v>-</v>
      </c>
      <c r="H356" s="32" t="str" cm="1">
        <f t="array" ref="H356">IF(A356="","-",A356-_xlfn.XLOOKUP($L$3,$E$2:E355,$A$2:A355,,FALSE,-1))</f>
        <v>-</v>
      </c>
      <c r="I356" s="32" t="str">
        <f t="shared" si="23"/>
        <v>-</v>
      </c>
    </row>
    <row r="357" spans="5:9" x14ac:dyDescent="0.25">
      <c r="E357" s="43" t="str">
        <f t="shared" si="20"/>
        <v>-</v>
      </c>
      <c r="F357" s="31" t="str">
        <f t="shared" si="21"/>
        <v>-</v>
      </c>
      <c r="G357" s="32" t="str">
        <f t="shared" si="22"/>
        <v>-</v>
      </c>
      <c r="H357" s="32" t="str" cm="1">
        <f t="array" ref="H357">IF(A357="","-",A357-_xlfn.XLOOKUP($L$3,$E$2:E356,$A$2:A356,,FALSE,-1))</f>
        <v>-</v>
      </c>
      <c r="I357" s="32" t="str">
        <f t="shared" si="23"/>
        <v>-</v>
      </c>
    </row>
    <row r="358" spans="5:9" x14ac:dyDescent="0.25">
      <c r="E358" s="43" t="str">
        <f t="shared" si="20"/>
        <v>-</v>
      </c>
      <c r="F358" s="31" t="str">
        <f t="shared" si="21"/>
        <v>-</v>
      </c>
      <c r="G358" s="32" t="str">
        <f t="shared" si="22"/>
        <v>-</v>
      </c>
      <c r="H358" s="32" t="str" cm="1">
        <f t="array" ref="H358">IF(A358="","-",A358-_xlfn.XLOOKUP($L$3,$E$2:E357,$A$2:A357,,FALSE,-1))</f>
        <v>-</v>
      </c>
      <c r="I358" s="32" t="str">
        <f t="shared" si="23"/>
        <v>-</v>
      </c>
    </row>
    <row r="359" spans="5:9" x14ac:dyDescent="0.25">
      <c r="E359" s="43" t="str">
        <f t="shared" si="20"/>
        <v>-</v>
      </c>
      <c r="F359" s="31" t="str">
        <f t="shared" si="21"/>
        <v>-</v>
      </c>
      <c r="G359" s="32" t="str">
        <f t="shared" si="22"/>
        <v>-</v>
      </c>
      <c r="H359" s="32" t="str" cm="1">
        <f t="array" ref="H359">IF(A359="","-",A359-_xlfn.XLOOKUP($L$3,$E$2:E358,$A$2:A358,,FALSE,-1))</f>
        <v>-</v>
      </c>
      <c r="I359" s="32" t="str">
        <f t="shared" si="23"/>
        <v>-</v>
      </c>
    </row>
    <row r="360" spans="5:9" x14ac:dyDescent="0.25">
      <c r="E360" s="43" t="str">
        <f t="shared" si="20"/>
        <v>-</v>
      </c>
      <c r="F360" s="31" t="str">
        <f t="shared" si="21"/>
        <v>-</v>
      </c>
      <c r="G360" s="32" t="str">
        <f t="shared" si="22"/>
        <v>-</v>
      </c>
      <c r="H360" s="32" t="str" cm="1">
        <f t="array" ref="H360">IF(A360="","-",A360-_xlfn.XLOOKUP($L$3,$E$2:E359,$A$2:A359,,FALSE,-1))</f>
        <v>-</v>
      </c>
      <c r="I360" s="32" t="str">
        <f t="shared" si="23"/>
        <v>-</v>
      </c>
    </row>
    <row r="361" spans="5:9" x14ac:dyDescent="0.25">
      <c r="E361" s="43" t="str">
        <f t="shared" si="20"/>
        <v>-</v>
      </c>
      <c r="F361" s="31" t="str">
        <f t="shared" si="21"/>
        <v>-</v>
      </c>
      <c r="G361" s="32" t="str">
        <f t="shared" si="22"/>
        <v>-</v>
      </c>
      <c r="H361" s="32" t="str" cm="1">
        <f t="array" ref="H361">IF(A361="","-",A361-_xlfn.XLOOKUP($L$3,$E$2:E360,$A$2:A360,,FALSE,-1))</f>
        <v>-</v>
      </c>
      <c r="I361" s="32" t="str">
        <f t="shared" si="23"/>
        <v>-</v>
      </c>
    </row>
    <row r="362" spans="5:9" x14ac:dyDescent="0.25">
      <c r="E362" s="43" t="str">
        <f t="shared" si="20"/>
        <v>-</v>
      </c>
      <c r="F362" s="31" t="str">
        <f t="shared" si="21"/>
        <v>-</v>
      </c>
      <c r="G362" s="32" t="str">
        <f t="shared" si="22"/>
        <v>-</v>
      </c>
      <c r="H362" s="32" t="str" cm="1">
        <f t="array" ref="H362">IF(A362="","-",A362-_xlfn.XLOOKUP($L$3,$E$2:E361,$A$2:A361,,FALSE,-1))</f>
        <v>-</v>
      </c>
      <c r="I362" s="32" t="str">
        <f t="shared" si="23"/>
        <v>-</v>
      </c>
    </row>
    <row r="363" spans="5:9" x14ac:dyDescent="0.25">
      <c r="E363" s="43" t="str">
        <f t="shared" si="20"/>
        <v>-</v>
      </c>
      <c r="F363" s="31" t="str">
        <f t="shared" si="21"/>
        <v>-</v>
      </c>
      <c r="G363" s="32" t="str">
        <f t="shared" si="22"/>
        <v>-</v>
      </c>
      <c r="H363" s="32" t="str" cm="1">
        <f t="array" ref="H363">IF(A363="","-",A363-_xlfn.XLOOKUP($L$3,$E$2:E362,$A$2:A362,,FALSE,-1))</f>
        <v>-</v>
      </c>
      <c r="I363" s="32" t="str">
        <f t="shared" si="23"/>
        <v>-</v>
      </c>
    </row>
    <row r="364" spans="5:9" x14ac:dyDescent="0.25">
      <c r="E364" s="43" t="str">
        <f t="shared" si="20"/>
        <v>-</v>
      </c>
      <c r="F364" s="31" t="str">
        <f t="shared" si="21"/>
        <v>-</v>
      </c>
      <c r="G364" s="32" t="str">
        <f t="shared" si="22"/>
        <v>-</v>
      </c>
      <c r="H364" s="32" t="str" cm="1">
        <f t="array" ref="H364">IF(A364="","-",A364-_xlfn.XLOOKUP($L$3,$E$2:E363,$A$2:A363,,FALSE,-1))</f>
        <v>-</v>
      </c>
      <c r="I364" s="32" t="str">
        <f t="shared" si="23"/>
        <v>-</v>
      </c>
    </row>
    <row r="365" spans="5:9" x14ac:dyDescent="0.25">
      <c r="E365" s="43" t="str">
        <f t="shared" si="20"/>
        <v>-</v>
      </c>
      <c r="F365" s="31" t="str">
        <f t="shared" si="21"/>
        <v>-</v>
      </c>
      <c r="G365" s="32" t="str">
        <f t="shared" si="22"/>
        <v>-</v>
      </c>
      <c r="H365" s="32" t="str" cm="1">
        <f t="array" ref="H365">IF(A365="","-",A365-_xlfn.XLOOKUP($L$3,$E$2:E364,$A$2:A364,,FALSE,-1))</f>
        <v>-</v>
      </c>
      <c r="I365" s="32" t="str">
        <f t="shared" si="23"/>
        <v>-</v>
      </c>
    </row>
    <row r="366" spans="5:9" x14ac:dyDescent="0.25">
      <c r="E366" s="43" t="str">
        <f t="shared" si="20"/>
        <v>-</v>
      </c>
      <c r="F366" s="31" t="str">
        <f t="shared" si="21"/>
        <v>-</v>
      </c>
      <c r="G366" s="32" t="str">
        <f t="shared" si="22"/>
        <v>-</v>
      </c>
      <c r="H366" s="32" t="str" cm="1">
        <f t="array" ref="H366">IF(A366="","-",A366-_xlfn.XLOOKUP($L$3,$E$2:E365,$A$2:A365,,FALSE,-1))</f>
        <v>-</v>
      </c>
      <c r="I366" s="32" t="str">
        <f t="shared" si="23"/>
        <v>-</v>
      </c>
    </row>
    <row r="367" spans="5:9" x14ac:dyDescent="0.25">
      <c r="E367" s="43" t="str">
        <f t="shared" si="20"/>
        <v>-</v>
      </c>
      <c r="F367" s="31" t="str">
        <f t="shared" si="21"/>
        <v>-</v>
      </c>
      <c r="G367" s="32" t="str">
        <f t="shared" si="22"/>
        <v>-</v>
      </c>
      <c r="H367" s="32" t="str" cm="1">
        <f t="array" ref="H367">IF(A367="","-",A367-_xlfn.XLOOKUP($L$3,$E$2:E366,$A$2:A366,,FALSE,-1))</f>
        <v>-</v>
      </c>
      <c r="I367" s="32" t="str">
        <f t="shared" si="23"/>
        <v>-</v>
      </c>
    </row>
    <row r="368" spans="5:9" x14ac:dyDescent="0.25">
      <c r="E368" s="43" t="str">
        <f t="shared" si="20"/>
        <v>-</v>
      </c>
      <c r="F368" s="31" t="str">
        <f t="shared" si="21"/>
        <v>-</v>
      </c>
      <c r="G368" s="32" t="str">
        <f t="shared" si="22"/>
        <v>-</v>
      </c>
      <c r="H368" s="32" t="str" cm="1">
        <f t="array" ref="H368">IF(A368="","-",A368-_xlfn.XLOOKUP($L$3,$E$2:E367,$A$2:A367,,FALSE,-1))</f>
        <v>-</v>
      </c>
      <c r="I368" s="32" t="str">
        <f t="shared" si="23"/>
        <v>-</v>
      </c>
    </row>
    <row r="369" spans="5:9" x14ac:dyDescent="0.25">
      <c r="E369" s="43" t="str">
        <f t="shared" si="20"/>
        <v>-</v>
      </c>
      <c r="F369" s="31" t="str">
        <f t="shared" si="21"/>
        <v>-</v>
      </c>
      <c r="G369" s="32" t="str">
        <f t="shared" si="22"/>
        <v>-</v>
      </c>
      <c r="H369" s="32" t="str" cm="1">
        <f t="array" ref="H369">IF(A369="","-",A369-_xlfn.XLOOKUP($L$3,$E$2:E368,$A$2:A368,,FALSE,-1))</f>
        <v>-</v>
      </c>
      <c r="I369" s="32" t="str">
        <f t="shared" si="23"/>
        <v>-</v>
      </c>
    </row>
    <row r="370" spans="5:9" x14ac:dyDescent="0.25">
      <c r="E370" s="43" t="str">
        <f t="shared" si="20"/>
        <v>-</v>
      </c>
      <c r="F370" s="31" t="str">
        <f t="shared" si="21"/>
        <v>-</v>
      </c>
      <c r="G370" s="32" t="str">
        <f t="shared" si="22"/>
        <v>-</v>
      </c>
      <c r="H370" s="32" t="str" cm="1">
        <f t="array" ref="H370">IF(A370="","-",A370-_xlfn.XLOOKUP($L$3,$E$2:E369,$A$2:A369,,FALSE,-1))</f>
        <v>-</v>
      </c>
      <c r="I370" s="32" t="str">
        <f t="shared" si="23"/>
        <v>-</v>
      </c>
    </row>
    <row r="371" spans="5:9" x14ac:dyDescent="0.25">
      <c r="E371" s="43" t="str">
        <f t="shared" si="20"/>
        <v>-</v>
      </c>
      <c r="F371" s="31" t="str">
        <f t="shared" si="21"/>
        <v>-</v>
      </c>
      <c r="G371" s="32" t="str">
        <f t="shared" si="22"/>
        <v>-</v>
      </c>
      <c r="H371" s="32" t="str" cm="1">
        <f t="array" ref="H371">IF(A371="","-",A371-_xlfn.XLOOKUP($L$3,$E$2:E370,$A$2:A370,,FALSE,-1))</f>
        <v>-</v>
      </c>
      <c r="I371" s="32" t="str">
        <f t="shared" si="23"/>
        <v>-</v>
      </c>
    </row>
    <row r="372" spans="5:9" x14ac:dyDescent="0.25">
      <c r="E372" s="43" t="str">
        <f t="shared" si="20"/>
        <v>-</v>
      </c>
      <c r="F372" s="31" t="str">
        <f t="shared" si="21"/>
        <v>-</v>
      </c>
      <c r="G372" s="32" t="str">
        <f t="shared" si="22"/>
        <v>-</v>
      </c>
      <c r="H372" s="32" t="str" cm="1">
        <f t="array" ref="H372">IF(A372="","-",A372-_xlfn.XLOOKUP($L$3,$E$2:E371,$A$2:A371,,FALSE,-1))</f>
        <v>-</v>
      </c>
      <c r="I372" s="32" t="str">
        <f t="shared" si="23"/>
        <v>-</v>
      </c>
    </row>
    <row r="373" spans="5:9" x14ac:dyDescent="0.25">
      <c r="E373" s="43" t="str">
        <f t="shared" si="20"/>
        <v>-</v>
      </c>
      <c r="F373" s="31" t="str">
        <f t="shared" si="21"/>
        <v>-</v>
      </c>
      <c r="G373" s="32" t="str">
        <f t="shared" si="22"/>
        <v>-</v>
      </c>
      <c r="H373" s="32" t="str" cm="1">
        <f t="array" ref="H373">IF(A373="","-",A373-_xlfn.XLOOKUP($L$3,$E$2:E372,$A$2:A372,,FALSE,-1))</f>
        <v>-</v>
      </c>
      <c r="I373" s="32" t="str">
        <f t="shared" si="23"/>
        <v>-</v>
      </c>
    </row>
    <row r="374" spans="5:9" x14ac:dyDescent="0.25">
      <c r="E374" s="43" t="str">
        <f t="shared" si="20"/>
        <v>-</v>
      </c>
      <c r="F374" s="31" t="str">
        <f t="shared" si="21"/>
        <v>-</v>
      </c>
      <c r="G374" s="32" t="str">
        <f t="shared" si="22"/>
        <v>-</v>
      </c>
      <c r="H374" s="32" t="str" cm="1">
        <f t="array" ref="H374">IF(A374="","-",A374-_xlfn.XLOOKUP($L$3,$E$2:E373,$A$2:A373,,FALSE,-1))</f>
        <v>-</v>
      </c>
      <c r="I374" s="32" t="str">
        <f t="shared" si="23"/>
        <v>-</v>
      </c>
    </row>
    <row r="375" spans="5:9" x14ac:dyDescent="0.25">
      <c r="E375" s="43" t="str">
        <f t="shared" si="20"/>
        <v>-</v>
      </c>
      <c r="F375" s="31" t="str">
        <f t="shared" si="21"/>
        <v>-</v>
      </c>
      <c r="G375" s="32" t="str">
        <f t="shared" si="22"/>
        <v>-</v>
      </c>
      <c r="H375" s="32" t="str" cm="1">
        <f t="array" ref="H375">IF(A375="","-",A375-_xlfn.XLOOKUP($L$3,$E$2:E374,$A$2:A374,,FALSE,-1))</f>
        <v>-</v>
      </c>
      <c r="I375" s="32" t="str">
        <f t="shared" si="23"/>
        <v>-</v>
      </c>
    </row>
    <row r="376" spans="5:9" x14ac:dyDescent="0.25">
      <c r="E376" s="43" t="str">
        <f t="shared" si="20"/>
        <v>-</v>
      </c>
      <c r="F376" s="31" t="str">
        <f t="shared" si="21"/>
        <v>-</v>
      </c>
      <c r="G376" s="32" t="str">
        <f t="shared" si="22"/>
        <v>-</v>
      </c>
      <c r="H376" s="32" t="str" cm="1">
        <f t="array" ref="H376">IF(A376="","-",A376-_xlfn.XLOOKUP($L$3,$E$2:E375,$A$2:A375,,FALSE,-1))</f>
        <v>-</v>
      </c>
      <c r="I376" s="32" t="str">
        <f t="shared" si="23"/>
        <v>-</v>
      </c>
    </row>
    <row r="377" spans="5:9" x14ac:dyDescent="0.25">
      <c r="E377" s="43" t="str">
        <f t="shared" si="20"/>
        <v>-</v>
      </c>
      <c r="F377" s="31" t="str">
        <f t="shared" si="21"/>
        <v>-</v>
      </c>
      <c r="G377" s="32" t="str">
        <f t="shared" si="22"/>
        <v>-</v>
      </c>
      <c r="H377" s="32" t="str" cm="1">
        <f t="array" ref="H377">IF(A377="","-",A377-_xlfn.XLOOKUP($L$3,$E$2:E376,$A$2:A376,,FALSE,-1))</f>
        <v>-</v>
      </c>
      <c r="I377" s="32" t="str">
        <f t="shared" si="23"/>
        <v>-</v>
      </c>
    </row>
    <row r="378" spans="5:9" x14ac:dyDescent="0.25">
      <c r="E378" s="43" t="str">
        <f t="shared" si="20"/>
        <v>-</v>
      </c>
      <c r="F378" s="31" t="str">
        <f t="shared" si="21"/>
        <v>-</v>
      </c>
      <c r="G378" s="32" t="str">
        <f t="shared" si="22"/>
        <v>-</v>
      </c>
      <c r="H378" s="32" t="str" cm="1">
        <f t="array" ref="H378">IF(A378="","-",A378-_xlfn.XLOOKUP($L$3,$E$2:E377,$A$2:A377,,FALSE,-1))</f>
        <v>-</v>
      </c>
      <c r="I378" s="32" t="str">
        <f t="shared" si="23"/>
        <v>-</v>
      </c>
    </row>
    <row r="379" spans="5:9" x14ac:dyDescent="0.25">
      <c r="E379" s="43" t="str">
        <f t="shared" si="20"/>
        <v>-</v>
      </c>
      <c r="F379" s="31" t="str">
        <f t="shared" si="21"/>
        <v>-</v>
      </c>
      <c r="G379" s="32" t="str">
        <f t="shared" si="22"/>
        <v>-</v>
      </c>
      <c r="H379" s="32" t="str" cm="1">
        <f t="array" ref="H379">IF(A379="","-",A379-_xlfn.XLOOKUP($L$3,$E$2:E378,$A$2:A378,,FALSE,-1))</f>
        <v>-</v>
      </c>
      <c r="I379" s="32" t="str">
        <f t="shared" si="23"/>
        <v>-</v>
      </c>
    </row>
    <row r="380" spans="5:9" x14ac:dyDescent="0.25">
      <c r="E380" s="43" t="str">
        <f t="shared" si="20"/>
        <v>-</v>
      </c>
      <c r="F380" s="31" t="str">
        <f t="shared" si="21"/>
        <v>-</v>
      </c>
      <c r="G380" s="32" t="str">
        <f t="shared" si="22"/>
        <v>-</v>
      </c>
      <c r="H380" s="32" t="str" cm="1">
        <f t="array" ref="H380">IF(A380="","-",A380-_xlfn.XLOOKUP($L$3,$E$2:E379,$A$2:A379,,FALSE,-1))</f>
        <v>-</v>
      </c>
      <c r="I380" s="32" t="str">
        <f t="shared" si="23"/>
        <v>-</v>
      </c>
    </row>
    <row r="381" spans="5:9" x14ac:dyDescent="0.25">
      <c r="E381" s="43" t="str">
        <f t="shared" si="20"/>
        <v>-</v>
      </c>
      <c r="F381" s="31" t="str">
        <f t="shared" si="21"/>
        <v>-</v>
      </c>
      <c r="G381" s="32" t="str">
        <f t="shared" si="22"/>
        <v>-</v>
      </c>
      <c r="H381" s="32" t="str" cm="1">
        <f t="array" ref="H381">IF(A381="","-",A381-_xlfn.XLOOKUP($L$3,$E$2:E380,$A$2:A380,,FALSE,-1))</f>
        <v>-</v>
      </c>
      <c r="I381" s="32" t="str">
        <f t="shared" si="23"/>
        <v>-</v>
      </c>
    </row>
    <row r="382" spans="5:9" x14ac:dyDescent="0.25">
      <c r="E382" s="43" t="str">
        <f t="shared" si="20"/>
        <v>-</v>
      </c>
      <c r="F382" s="31" t="str">
        <f t="shared" si="21"/>
        <v>-</v>
      </c>
      <c r="G382" s="32" t="str">
        <f t="shared" si="22"/>
        <v>-</v>
      </c>
      <c r="H382" s="32" t="str" cm="1">
        <f t="array" ref="H382">IF(A382="","-",A382-_xlfn.XLOOKUP($L$3,$E$2:E381,$A$2:A381,,FALSE,-1))</f>
        <v>-</v>
      </c>
      <c r="I382" s="32" t="str">
        <f t="shared" si="23"/>
        <v>-</v>
      </c>
    </row>
    <row r="383" spans="5:9" x14ac:dyDescent="0.25">
      <c r="E383" s="43" t="str">
        <f t="shared" si="20"/>
        <v>-</v>
      </c>
      <c r="F383" s="31" t="str">
        <f t="shared" si="21"/>
        <v>-</v>
      </c>
      <c r="G383" s="32" t="str">
        <f t="shared" si="22"/>
        <v>-</v>
      </c>
      <c r="H383" s="32" t="str" cm="1">
        <f t="array" ref="H383">IF(A383="","-",A383-_xlfn.XLOOKUP($L$3,$E$2:E382,$A$2:A382,,FALSE,-1))</f>
        <v>-</v>
      </c>
      <c r="I383" s="32" t="str">
        <f t="shared" si="23"/>
        <v>-</v>
      </c>
    </row>
    <row r="384" spans="5:9" x14ac:dyDescent="0.25">
      <c r="E384" s="43" t="str">
        <f t="shared" si="20"/>
        <v>-</v>
      </c>
      <c r="F384" s="31" t="str">
        <f t="shared" si="21"/>
        <v>-</v>
      </c>
      <c r="G384" s="32" t="str">
        <f t="shared" si="22"/>
        <v>-</v>
      </c>
      <c r="H384" s="32" t="str" cm="1">
        <f t="array" ref="H384">IF(A384="","-",A384-_xlfn.XLOOKUP($L$3,$E$2:E383,$A$2:A383,,FALSE,-1))</f>
        <v>-</v>
      </c>
      <c r="I384" s="32" t="str">
        <f t="shared" si="23"/>
        <v>-</v>
      </c>
    </row>
    <row r="385" spans="5:9" x14ac:dyDescent="0.25">
      <c r="E385" s="43" t="str">
        <f t="shared" si="20"/>
        <v>-</v>
      </c>
      <c r="F385" s="31" t="str">
        <f t="shared" si="21"/>
        <v>-</v>
      </c>
      <c r="G385" s="32" t="str">
        <f t="shared" si="22"/>
        <v>-</v>
      </c>
      <c r="H385" s="32" t="str" cm="1">
        <f t="array" ref="H385">IF(A385="","-",A385-_xlfn.XLOOKUP($L$3,$E$2:E384,$A$2:A384,,FALSE,-1))</f>
        <v>-</v>
      </c>
      <c r="I385" s="32" t="str">
        <f t="shared" si="23"/>
        <v>-</v>
      </c>
    </row>
    <row r="386" spans="5:9" x14ac:dyDescent="0.25">
      <c r="E386" s="43" t="str">
        <f t="shared" si="20"/>
        <v>-</v>
      </c>
      <c r="F386" s="31" t="str">
        <f t="shared" si="21"/>
        <v>-</v>
      </c>
      <c r="G386" s="32" t="str">
        <f t="shared" si="22"/>
        <v>-</v>
      </c>
      <c r="H386" s="32" t="str" cm="1">
        <f t="array" ref="H386">IF(A386="","-",A386-_xlfn.XLOOKUP($L$3,$E$2:E385,$A$2:A385,,FALSE,-1))</f>
        <v>-</v>
      </c>
      <c r="I386" s="32" t="str">
        <f t="shared" si="23"/>
        <v>-</v>
      </c>
    </row>
    <row r="387" spans="5:9" x14ac:dyDescent="0.25">
      <c r="E387" s="43" t="str">
        <f t="shared" ref="E387:E450" si="24">IF(A387="","-",VLOOKUP(C387,$L$3:$O$8,2,FALSE))</f>
        <v>-</v>
      </c>
      <c r="F387" s="31" t="str">
        <f t="shared" ref="F387:F450" si="25">IF(A387="","-",IF(OR(C387=$L$10,C387=$L$11,C387=$L$12),MID(SUBSTITUTE(D387,".",","),1,FIND("(",SUBSTITUTE(D387,".",","))-1)*1,D387))</f>
        <v>-</v>
      </c>
      <c r="G387" s="32" t="str">
        <f t="shared" ref="G387:G450" si="26">IF(A387="","-",A387-A386)</f>
        <v>-</v>
      </c>
      <c r="H387" s="32" t="str" cm="1">
        <f t="array" ref="H387">IF(A387="","-",A387-_xlfn.XLOOKUP($L$3,$E$2:E386,$A$2:A386,,FALSE,-1))</f>
        <v>-</v>
      </c>
      <c r="I387" s="32" t="str">
        <f t="shared" ref="I387:I450" si="27">IF(A387="","-",A387-0.00173611111111116)</f>
        <v>-</v>
      </c>
    </row>
    <row r="388" spans="5:9" x14ac:dyDescent="0.25">
      <c r="E388" s="43" t="str">
        <f t="shared" si="24"/>
        <v>-</v>
      </c>
      <c r="F388" s="31" t="str">
        <f t="shared" si="25"/>
        <v>-</v>
      </c>
      <c r="G388" s="32" t="str">
        <f t="shared" si="26"/>
        <v>-</v>
      </c>
      <c r="H388" s="32" t="str" cm="1">
        <f t="array" ref="H388">IF(A388="","-",A388-_xlfn.XLOOKUP($L$3,$E$2:E387,$A$2:A387,,FALSE,-1))</f>
        <v>-</v>
      </c>
      <c r="I388" s="32" t="str">
        <f t="shared" si="27"/>
        <v>-</v>
      </c>
    </row>
    <row r="389" spans="5:9" x14ac:dyDescent="0.25">
      <c r="E389" s="43" t="str">
        <f t="shared" si="24"/>
        <v>-</v>
      </c>
      <c r="F389" s="31" t="str">
        <f t="shared" si="25"/>
        <v>-</v>
      </c>
      <c r="G389" s="32" t="str">
        <f t="shared" si="26"/>
        <v>-</v>
      </c>
      <c r="H389" s="32" t="str" cm="1">
        <f t="array" ref="H389">IF(A389="","-",A389-_xlfn.XLOOKUP($L$3,$E$2:E388,$A$2:A388,,FALSE,-1))</f>
        <v>-</v>
      </c>
      <c r="I389" s="32" t="str">
        <f t="shared" si="27"/>
        <v>-</v>
      </c>
    </row>
    <row r="390" spans="5:9" x14ac:dyDescent="0.25">
      <c r="E390" s="43" t="str">
        <f t="shared" si="24"/>
        <v>-</v>
      </c>
      <c r="F390" s="31" t="str">
        <f t="shared" si="25"/>
        <v>-</v>
      </c>
      <c r="G390" s="32" t="str">
        <f t="shared" si="26"/>
        <v>-</v>
      </c>
      <c r="H390" s="32" t="str" cm="1">
        <f t="array" ref="H390">IF(A390="","-",A390-_xlfn.XLOOKUP($L$3,$E$2:E389,$A$2:A389,,FALSE,-1))</f>
        <v>-</v>
      </c>
      <c r="I390" s="32" t="str">
        <f t="shared" si="27"/>
        <v>-</v>
      </c>
    </row>
    <row r="391" spans="5:9" x14ac:dyDescent="0.25">
      <c r="E391" s="43" t="str">
        <f t="shared" si="24"/>
        <v>-</v>
      </c>
      <c r="F391" s="31" t="str">
        <f t="shared" si="25"/>
        <v>-</v>
      </c>
      <c r="G391" s="32" t="str">
        <f t="shared" si="26"/>
        <v>-</v>
      </c>
      <c r="H391" s="32" t="str" cm="1">
        <f t="array" ref="H391">IF(A391="","-",A391-_xlfn.XLOOKUP($L$3,$E$2:E390,$A$2:A390,,FALSE,-1))</f>
        <v>-</v>
      </c>
      <c r="I391" s="32" t="str">
        <f t="shared" si="27"/>
        <v>-</v>
      </c>
    </row>
    <row r="392" spans="5:9" x14ac:dyDescent="0.25">
      <c r="E392" s="43" t="str">
        <f t="shared" si="24"/>
        <v>-</v>
      </c>
      <c r="F392" s="31" t="str">
        <f t="shared" si="25"/>
        <v>-</v>
      </c>
      <c r="G392" s="32" t="str">
        <f t="shared" si="26"/>
        <v>-</v>
      </c>
      <c r="H392" s="32" t="str" cm="1">
        <f t="array" ref="H392">IF(A392="","-",A392-_xlfn.XLOOKUP($L$3,$E$2:E391,$A$2:A391,,FALSE,-1))</f>
        <v>-</v>
      </c>
      <c r="I392" s="32" t="str">
        <f t="shared" si="27"/>
        <v>-</v>
      </c>
    </row>
    <row r="393" spans="5:9" x14ac:dyDescent="0.25">
      <c r="E393" s="43" t="str">
        <f t="shared" si="24"/>
        <v>-</v>
      </c>
      <c r="F393" s="31" t="str">
        <f t="shared" si="25"/>
        <v>-</v>
      </c>
      <c r="G393" s="32" t="str">
        <f t="shared" si="26"/>
        <v>-</v>
      </c>
      <c r="H393" s="32" t="str" cm="1">
        <f t="array" ref="H393">IF(A393="","-",A393-_xlfn.XLOOKUP($L$3,$E$2:E392,$A$2:A392,,FALSE,-1))</f>
        <v>-</v>
      </c>
      <c r="I393" s="32" t="str">
        <f t="shared" si="27"/>
        <v>-</v>
      </c>
    </row>
    <row r="394" spans="5:9" x14ac:dyDescent="0.25">
      <c r="E394" s="43" t="str">
        <f t="shared" si="24"/>
        <v>-</v>
      </c>
      <c r="F394" s="31" t="str">
        <f t="shared" si="25"/>
        <v>-</v>
      </c>
      <c r="G394" s="32" t="str">
        <f t="shared" si="26"/>
        <v>-</v>
      </c>
      <c r="H394" s="32" t="str" cm="1">
        <f t="array" ref="H394">IF(A394="","-",A394-_xlfn.XLOOKUP($L$3,$E$2:E393,$A$2:A393,,FALSE,-1))</f>
        <v>-</v>
      </c>
      <c r="I394" s="32" t="str">
        <f t="shared" si="27"/>
        <v>-</v>
      </c>
    </row>
    <row r="395" spans="5:9" x14ac:dyDescent="0.25">
      <c r="E395" s="43" t="str">
        <f t="shared" si="24"/>
        <v>-</v>
      </c>
      <c r="F395" s="31" t="str">
        <f t="shared" si="25"/>
        <v>-</v>
      </c>
      <c r="G395" s="32" t="str">
        <f t="shared" si="26"/>
        <v>-</v>
      </c>
      <c r="H395" s="32" t="str" cm="1">
        <f t="array" ref="H395">IF(A395="","-",A395-_xlfn.XLOOKUP($L$3,$E$2:E394,$A$2:A394,,FALSE,-1))</f>
        <v>-</v>
      </c>
      <c r="I395" s="32" t="str">
        <f t="shared" si="27"/>
        <v>-</v>
      </c>
    </row>
    <row r="396" spans="5:9" x14ac:dyDescent="0.25">
      <c r="E396" s="43" t="str">
        <f t="shared" si="24"/>
        <v>-</v>
      </c>
      <c r="F396" s="31" t="str">
        <f t="shared" si="25"/>
        <v>-</v>
      </c>
      <c r="G396" s="32" t="str">
        <f t="shared" si="26"/>
        <v>-</v>
      </c>
      <c r="H396" s="32" t="str" cm="1">
        <f t="array" ref="H396">IF(A396="","-",A396-_xlfn.XLOOKUP($L$3,$E$2:E395,$A$2:A395,,FALSE,-1))</f>
        <v>-</v>
      </c>
      <c r="I396" s="32" t="str">
        <f t="shared" si="27"/>
        <v>-</v>
      </c>
    </row>
    <row r="397" spans="5:9" x14ac:dyDescent="0.25">
      <c r="E397" s="43" t="str">
        <f t="shared" si="24"/>
        <v>-</v>
      </c>
      <c r="F397" s="31" t="str">
        <f t="shared" si="25"/>
        <v>-</v>
      </c>
      <c r="G397" s="32" t="str">
        <f t="shared" si="26"/>
        <v>-</v>
      </c>
      <c r="H397" s="32" t="str" cm="1">
        <f t="array" ref="H397">IF(A397="","-",A397-_xlfn.XLOOKUP($L$3,$E$2:E396,$A$2:A396,,FALSE,-1))</f>
        <v>-</v>
      </c>
      <c r="I397" s="32" t="str">
        <f t="shared" si="27"/>
        <v>-</v>
      </c>
    </row>
    <row r="398" spans="5:9" x14ac:dyDescent="0.25">
      <c r="E398" s="43" t="str">
        <f t="shared" si="24"/>
        <v>-</v>
      </c>
      <c r="F398" s="31" t="str">
        <f t="shared" si="25"/>
        <v>-</v>
      </c>
      <c r="G398" s="32" t="str">
        <f t="shared" si="26"/>
        <v>-</v>
      </c>
      <c r="H398" s="32" t="str" cm="1">
        <f t="array" ref="H398">IF(A398="","-",A398-_xlfn.XLOOKUP($L$3,$E$2:E397,$A$2:A397,,FALSE,-1))</f>
        <v>-</v>
      </c>
      <c r="I398" s="32" t="str">
        <f t="shared" si="27"/>
        <v>-</v>
      </c>
    </row>
    <row r="399" spans="5:9" x14ac:dyDescent="0.25">
      <c r="E399" s="43" t="str">
        <f t="shared" si="24"/>
        <v>-</v>
      </c>
      <c r="F399" s="31" t="str">
        <f t="shared" si="25"/>
        <v>-</v>
      </c>
      <c r="G399" s="32" t="str">
        <f t="shared" si="26"/>
        <v>-</v>
      </c>
      <c r="H399" s="32" t="str" cm="1">
        <f t="array" ref="H399">IF(A399="","-",A399-_xlfn.XLOOKUP($L$3,$E$2:E398,$A$2:A398,,FALSE,-1))</f>
        <v>-</v>
      </c>
      <c r="I399" s="32" t="str">
        <f t="shared" si="27"/>
        <v>-</v>
      </c>
    </row>
    <row r="400" spans="5:9" x14ac:dyDescent="0.25">
      <c r="E400" s="43" t="str">
        <f t="shared" si="24"/>
        <v>-</v>
      </c>
      <c r="F400" s="31" t="str">
        <f t="shared" si="25"/>
        <v>-</v>
      </c>
      <c r="G400" s="32" t="str">
        <f t="shared" si="26"/>
        <v>-</v>
      </c>
      <c r="H400" s="32" t="str" cm="1">
        <f t="array" ref="H400">IF(A400="","-",A400-_xlfn.XLOOKUP($L$3,$E$2:E399,$A$2:A399,,FALSE,-1))</f>
        <v>-</v>
      </c>
      <c r="I400" s="32" t="str">
        <f t="shared" si="27"/>
        <v>-</v>
      </c>
    </row>
    <row r="401" spans="5:9" x14ac:dyDescent="0.25">
      <c r="E401" s="43" t="str">
        <f t="shared" si="24"/>
        <v>-</v>
      </c>
      <c r="F401" s="31" t="str">
        <f t="shared" si="25"/>
        <v>-</v>
      </c>
      <c r="G401" s="32" t="str">
        <f t="shared" si="26"/>
        <v>-</v>
      </c>
      <c r="H401" s="32" t="str" cm="1">
        <f t="array" ref="H401">IF(A401="","-",A401-_xlfn.XLOOKUP($L$3,$E$2:E400,$A$2:A400,,FALSE,-1))</f>
        <v>-</v>
      </c>
      <c r="I401" s="32" t="str">
        <f t="shared" si="27"/>
        <v>-</v>
      </c>
    </row>
    <row r="402" spans="5:9" x14ac:dyDescent="0.25">
      <c r="E402" s="43" t="str">
        <f t="shared" si="24"/>
        <v>-</v>
      </c>
      <c r="F402" s="31" t="str">
        <f t="shared" si="25"/>
        <v>-</v>
      </c>
      <c r="G402" s="32" t="str">
        <f t="shared" si="26"/>
        <v>-</v>
      </c>
      <c r="H402" s="32" t="str" cm="1">
        <f t="array" ref="H402">IF(A402="","-",A402-_xlfn.XLOOKUP($L$3,$E$2:E401,$A$2:A401,,FALSE,-1))</f>
        <v>-</v>
      </c>
      <c r="I402" s="32" t="str">
        <f t="shared" si="27"/>
        <v>-</v>
      </c>
    </row>
    <row r="403" spans="5:9" x14ac:dyDescent="0.25">
      <c r="E403" s="43" t="str">
        <f t="shared" si="24"/>
        <v>-</v>
      </c>
      <c r="F403" s="31" t="str">
        <f t="shared" si="25"/>
        <v>-</v>
      </c>
      <c r="G403" s="32" t="str">
        <f t="shared" si="26"/>
        <v>-</v>
      </c>
      <c r="H403" s="32" t="str" cm="1">
        <f t="array" ref="H403">IF(A403="","-",A403-_xlfn.XLOOKUP($L$3,$E$2:E402,$A$2:A402,,FALSE,-1))</f>
        <v>-</v>
      </c>
      <c r="I403" s="32" t="str">
        <f t="shared" si="27"/>
        <v>-</v>
      </c>
    </row>
    <row r="404" spans="5:9" x14ac:dyDescent="0.25">
      <c r="E404" s="43" t="str">
        <f t="shared" si="24"/>
        <v>-</v>
      </c>
      <c r="F404" s="31" t="str">
        <f t="shared" si="25"/>
        <v>-</v>
      </c>
      <c r="G404" s="32" t="str">
        <f t="shared" si="26"/>
        <v>-</v>
      </c>
      <c r="H404" s="32" t="str" cm="1">
        <f t="array" ref="H404">IF(A404="","-",A404-_xlfn.XLOOKUP($L$3,$E$2:E403,$A$2:A403,,FALSE,-1))</f>
        <v>-</v>
      </c>
      <c r="I404" s="32" t="str">
        <f t="shared" si="27"/>
        <v>-</v>
      </c>
    </row>
    <row r="405" spans="5:9" x14ac:dyDescent="0.25">
      <c r="E405" s="43" t="str">
        <f t="shared" si="24"/>
        <v>-</v>
      </c>
      <c r="F405" s="31" t="str">
        <f t="shared" si="25"/>
        <v>-</v>
      </c>
      <c r="G405" s="32" t="str">
        <f t="shared" si="26"/>
        <v>-</v>
      </c>
      <c r="H405" s="32" t="str" cm="1">
        <f t="array" ref="H405">IF(A405="","-",A405-_xlfn.XLOOKUP($L$3,$E$2:E404,$A$2:A404,,FALSE,-1))</f>
        <v>-</v>
      </c>
      <c r="I405" s="32" t="str">
        <f t="shared" si="27"/>
        <v>-</v>
      </c>
    </row>
    <row r="406" spans="5:9" x14ac:dyDescent="0.25">
      <c r="E406" s="43" t="str">
        <f t="shared" si="24"/>
        <v>-</v>
      </c>
      <c r="F406" s="31" t="str">
        <f t="shared" si="25"/>
        <v>-</v>
      </c>
      <c r="G406" s="32" t="str">
        <f t="shared" si="26"/>
        <v>-</v>
      </c>
      <c r="H406" s="32" t="str" cm="1">
        <f t="array" ref="H406">IF(A406="","-",A406-_xlfn.XLOOKUP($L$3,$E$2:E405,$A$2:A405,,FALSE,-1))</f>
        <v>-</v>
      </c>
      <c r="I406" s="32" t="str">
        <f t="shared" si="27"/>
        <v>-</v>
      </c>
    </row>
    <row r="407" spans="5:9" x14ac:dyDescent="0.25">
      <c r="E407" s="43" t="str">
        <f t="shared" si="24"/>
        <v>-</v>
      </c>
      <c r="F407" s="31" t="str">
        <f t="shared" si="25"/>
        <v>-</v>
      </c>
      <c r="G407" s="32" t="str">
        <f t="shared" si="26"/>
        <v>-</v>
      </c>
      <c r="H407" s="32" t="str" cm="1">
        <f t="array" ref="H407">IF(A407="","-",A407-_xlfn.XLOOKUP($L$3,$E$2:E406,$A$2:A406,,FALSE,-1))</f>
        <v>-</v>
      </c>
      <c r="I407" s="32" t="str">
        <f t="shared" si="27"/>
        <v>-</v>
      </c>
    </row>
    <row r="408" spans="5:9" x14ac:dyDescent="0.25">
      <c r="E408" s="43" t="str">
        <f t="shared" si="24"/>
        <v>-</v>
      </c>
      <c r="F408" s="31" t="str">
        <f t="shared" si="25"/>
        <v>-</v>
      </c>
      <c r="G408" s="32" t="str">
        <f t="shared" si="26"/>
        <v>-</v>
      </c>
      <c r="H408" s="32" t="str" cm="1">
        <f t="array" ref="H408">IF(A408="","-",A408-_xlfn.XLOOKUP($L$3,$E$2:E407,$A$2:A407,,FALSE,-1))</f>
        <v>-</v>
      </c>
      <c r="I408" s="32" t="str">
        <f t="shared" si="27"/>
        <v>-</v>
      </c>
    </row>
    <row r="409" spans="5:9" x14ac:dyDescent="0.25">
      <c r="E409" s="43" t="str">
        <f t="shared" si="24"/>
        <v>-</v>
      </c>
      <c r="F409" s="31" t="str">
        <f t="shared" si="25"/>
        <v>-</v>
      </c>
      <c r="G409" s="32" t="str">
        <f t="shared" si="26"/>
        <v>-</v>
      </c>
      <c r="H409" s="32" t="str" cm="1">
        <f t="array" ref="H409">IF(A409="","-",A409-_xlfn.XLOOKUP($L$3,$E$2:E408,$A$2:A408,,FALSE,-1))</f>
        <v>-</v>
      </c>
      <c r="I409" s="32" t="str">
        <f t="shared" si="27"/>
        <v>-</v>
      </c>
    </row>
    <row r="410" spans="5:9" x14ac:dyDescent="0.25">
      <c r="E410" s="43" t="str">
        <f t="shared" si="24"/>
        <v>-</v>
      </c>
      <c r="F410" s="31" t="str">
        <f t="shared" si="25"/>
        <v>-</v>
      </c>
      <c r="G410" s="32" t="str">
        <f t="shared" si="26"/>
        <v>-</v>
      </c>
      <c r="H410" s="32" t="str" cm="1">
        <f t="array" ref="H410">IF(A410="","-",A410-_xlfn.XLOOKUP($L$3,$E$2:E409,$A$2:A409,,FALSE,-1))</f>
        <v>-</v>
      </c>
      <c r="I410" s="32" t="str">
        <f t="shared" si="27"/>
        <v>-</v>
      </c>
    </row>
    <row r="411" spans="5:9" x14ac:dyDescent="0.25">
      <c r="E411" s="43" t="str">
        <f t="shared" si="24"/>
        <v>-</v>
      </c>
      <c r="F411" s="31" t="str">
        <f t="shared" si="25"/>
        <v>-</v>
      </c>
      <c r="G411" s="32" t="str">
        <f t="shared" si="26"/>
        <v>-</v>
      </c>
      <c r="H411" s="32" t="str" cm="1">
        <f t="array" ref="H411">IF(A411="","-",A411-_xlfn.XLOOKUP($L$3,$E$2:E410,$A$2:A410,,FALSE,-1))</f>
        <v>-</v>
      </c>
      <c r="I411" s="32" t="str">
        <f t="shared" si="27"/>
        <v>-</v>
      </c>
    </row>
    <row r="412" spans="5:9" x14ac:dyDescent="0.25">
      <c r="E412" s="43" t="str">
        <f t="shared" si="24"/>
        <v>-</v>
      </c>
      <c r="F412" s="31" t="str">
        <f t="shared" si="25"/>
        <v>-</v>
      </c>
      <c r="G412" s="32" t="str">
        <f t="shared" si="26"/>
        <v>-</v>
      </c>
      <c r="H412" s="32" t="str" cm="1">
        <f t="array" ref="H412">IF(A412="","-",A412-_xlfn.XLOOKUP($L$3,$E$2:E411,$A$2:A411,,FALSE,-1))</f>
        <v>-</v>
      </c>
      <c r="I412" s="32" t="str">
        <f t="shared" si="27"/>
        <v>-</v>
      </c>
    </row>
    <row r="413" spans="5:9" x14ac:dyDescent="0.25">
      <c r="E413" s="43" t="str">
        <f t="shared" si="24"/>
        <v>-</v>
      </c>
      <c r="F413" s="31" t="str">
        <f t="shared" si="25"/>
        <v>-</v>
      </c>
      <c r="G413" s="32" t="str">
        <f t="shared" si="26"/>
        <v>-</v>
      </c>
      <c r="H413" s="32" t="str" cm="1">
        <f t="array" ref="H413">IF(A413="","-",A413-_xlfn.XLOOKUP($L$3,$E$2:E412,$A$2:A412,,FALSE,-1))</f>
        <v>-</v>
      </c>
      <c r="I413" s="32" t="str">
        <f t="shared" si="27"/>
        <v>-</v>
      </c>
    </row>
    <row r="414" spans="5:9" x14ac:dyDescent="0.25">
      <c r="E414" s="43" t="str">
        <f t="shared" si="24"/>
        <v>-</v>
      </c>
      <c r="F414" s="31" t="str">
        <f t="shared" si="25"/>
        <v>-</v>
      </c>
      <c r="G414" s="32" t="str">
        <f t="shared" si="26"/>
        <v>-</v>
      </c>
      <c r="H414" s="32" t="str" cm="1">
        <f t="array" ref="H414">IF(A414="","-",A414-_xlfn.XLOOKUP($L$3,$E$2:E413,$A$2:A413,,FALSE,-1))</f>
        <v>-</v>
      </c>
      <c r="I414" s="32" t="str">
        <f t="shared" si="27"/>
        <v>-</v>
      </c>
    </row>
    <row r="415" spans="5:9" x14ac:dyDescent="0.25">
      <c r="E415" s="43" t="str">
        <f t="shared" si="24"/>
        <v>-</v>
      </c>
      <c r="F415" s="31" t="str">
        <f t="shared" si="25"/>
        <v>-</v>
      </c>
      <c r="G415" s="32" t="str">
        <f t="shared" si="26"/>
        <v>-</v>
      </c>
      <c r="H415" s="32" t="str" cm="1">
        <f t="array" ref="H415">IF(A415="","-",A415-_xlfn.XLOOKUP($L$3,$E$2:E414,$A$2:A414,,FALSE,-1))</f>
        <v>-</v>
      </c>
      <c r="I415" s="32" t="str">
        <f t="shared" si="27"/>
        <v>-</v>
      </c>
    </row>
    <row r="416" spans="5:9" x14ac:dyDescent="0.25">
      <c r="E416" s="43" t="str">
        <f t="shared" si="24"/>
        <v>-</v>
      </c>
      <c r="F416" s="31" t="str">
        <f t="shared" si="25"/>
        <v>-</v>
      </c>
      <c r="G416" s="32" t="str">
        <f t="shared" si="26"/>
        <v>-</v>
      </c>
      <c r="H416" s="32" t="str" cm="1">
        <f t="array" ref="H416">IF(A416="","-",A416-_xlfn.XLOOKUP($L$3,$E$2:E415,$A$2:A415,,FALSE,-1))</f>
        <v>-</v>
      </c>
      <c r="I416" s="32" t="str">
        <f t="shared" si="27"/>
        <v>-</v>
      </c>
    </row>
    <row r="417" spans="5:9" x14ac:dyDescent="0.25">
      <c r="E417" s="43" t="str">
        <f t="shared" si="24"/>
        <v>-</v>
      </c>
      <c r="F417" s="31" t="str">
        <f t="shared" si="25"/>
        <v>-</v>
      </c>
      <c r="G417" s="32" t="str">
        <f t="shared" si="26"/>
        <v>-</v>
      </c>
      <c r="H417" s="32" t="str" cm="1">
        <f t="array" ref="H417">IF(A417="","-",A417-_xlfn.XLOOKUP($L$3,$E$2:E416,$A$2:A416,,FALSE,-1))</f>
        <v>-</v>
      </c>
      <c r="I417" s="32" t="str">
        <f t="shared" si="27"/>
        <v>-</v>
      </c>
    </row>
    <row r="418" spans="5:9" x14ac:dyDescent="0.25">
      <c r="E418" s="43" t="str">
        <f t="shared" si="24"/>
        <v>-</v>
      </c>
      <c r="F418" s="31" t="str">
        <f t="shared" si="25"/>
        <v>-</v>
      </c>
      <c r="G418" s="32" t="str">
        <f t="shared" si="26"/>
        <v>-</v>
      </c>
      <c r="H418" s="32" t="str" cm="1">
        <f t="array" ref="H418">IF(A418="","-",A418-_xlfn.XLOOKUP($L$3,$E$2:E417,$A$2:A417,,FALSE,-1))</f>
        <v>-</v>
      </c>
      <c r="I418" s="32" t="str">
        <f t="shared" si="27"/>
        <v>-</v>
      </c>
    </row>
    <row r="419" spans="5:9" x14ac:dyDescent="0.25">
      <c r="E419" s="43" t="str">
        <f t="shared" si="24"/>
        <v>-</v>
      </c>
      <c r="F419" s="31" t="str">
        <f t="shared" si="25"/>
        <v>-</v>
      </c>
      <c r="G419" s="32" t="str">
        <f t="shared" si="26"/>
        <v>-</v>
      </c>
      <c r="H419" s="32" t="str" cm="1">
        <f t="array" ref="H419">IF(A419="","-",A419-_xlfn.XLOOKUP($L$3,$E$2:E418,$A$2:A418,,FALSE,-1))</f>
        <v>-</v>
      </c>
      <c r="I419" s="32" t="str">
        <f t="shared" si="27"/>
        <v>-</v>
      </c>
    </row>
    <row r="420" spans="5:9" x14ac:dyDescent="0.25">
      <c r="E420" s="43" t="str">
        <f t="shared" si="24"/>
        <v>-</v>
      </c>
      <c r="F420" s="31" t="str">
        <f t="shared" si="25"/>
        <v>-</v>
      </c>
      <c r="G420" s="32" t="str">
        <f t="shared" si="26"/>
        <v>-</v>
      </c>
      <c r="H420" s="32" t="str" cm="1">
        <f t="array" ref="H420">IF(A420="","-",A420-_xlfn.XLOOKUP($L$3,$E$2:E419,$A$2:A419,,FALSE,-1))</f>
        <v>-</v>
      </c>
      <c r="I420" s="32" t="str">
        <f t="shared" si="27"/>
        <v>-</v>
      </c>
    </row>
    <row r="421" spans="5:9" x14ac:dyDescent="0.25">
      <c r="E421" s="43" t="str">
        <f t="shared" si="24"/>
        <v>-</v>
      </c>
      <c r="F421" s="31" t="str">
        <f t="shared" si="25"/>
        <v>-</v>
      </c>
      <c r="G421" s="32" t="str">
        <f t="shared" si="26"/>
        <v>-</v>
      </c>
      <c r="H421" s="32" t="str" cm="1">
        <f t="array" ref="H421">IF(A421="","-",A421-_xlfn.XLOOKUP($L$3,$E$2:E420,$A$2:A420,,FALSE,-1))</f>
        <v>-</v>
      </c>
      <c r="I421" s="32" t="str">
        <f t="shared" si="27"/>
        <v>-</v>
      </c>
    </row>
    <row r="422" spans="5:9" x14ac:dyDescent="0.25">
      <c r="E422" s="43" t="str">
        <f t="shared" si="24"/>
        <v>-</v>
      </c>
      <c r="F422" s="31" t="str">
        <f t="shared" si="25"/>
        <v>-</v>
      </c>
      <c r="G422" s="32" t="str">
        <f t="shared" si="26"/>
        <v>-</v>
      </c>
      <c r="H422" s="32" t="str" cm="1">
        <f t="array" ref="H422">IF(A422="","-",A422-_xlfn.XLOOKUP($L$3,$E$2:E421,$A$2:A421,,FALSE,-1))</f>
        <v>-</v>
      </c>
      <c r="I422" s="32" t="str">
        <f t="shared" si="27"/>
        <v>-</v>
      </c>
    </row>
    <row r="423" spans="5:9" x14ac:dyDescent="0.25">
      <c r="E423" s="43" t="str">
        <f t="shared" si="24"/>
        <v>-</v>
      </c>
      <c r="F423" s="31" t="str">
        <f t="shared" si="25"/>
        <v>-</v>
      </c>
      <c r="G423" s="32" t="str">
        <f t="shared" si="26"/>
        <v>-</v>
      </c>
      <c r="H423" s="32" t="str" cm="1">
        <f t="array" ref="H423">IF(A423="","-",A423-_xlfn.XLOOKUP($L$3,$E$2:E422,$A$2:A422,,FALSE,-1))</f>
        <v>-</v>
      </c>
      <c r="I423" s="32" t="str">
        <f t="shared" si="27"/>
        <v>-</v>
      </c>
    </row>
    <row r="424" spans="5:9" x14ac:dyDescent="0.25">
      <c r="E424" s="43" t="str">
        <f t="shared" si="24"/>
        <v>-</v>
      </c>
      <c r="F424" s="31" t="str">
        <f t="shared" si="25"/>
        <v>-</v>
      </c>
      <c r="G424" s="32" t="str">
        <f t="shared" si="26"/>
        <v>-</v>
      </c>
      <c r="H424" s="32" t="str" cm="1">
        <f t="array" ref="H424">IF(A424="","-",A424-_xlfn.XLOOKUP($L$3,$E$2:E423,$A$2:A423,,FALSE,-1))</f>
        <v>-</v>
      </c>
      <c r="I424" s="32" t="str">
        <f t="shared" si="27"/>
        <v>-</v>
      </c>
    </row>
    <row r="425" spans="5:9" x14ac:dyDescent="0.25">
      <c r="E425" s="43" t="str">
        <f t="shared" si="24"/>
        <v>-</v>
      </c>
      <c r="F425" s="31" t="str">
        <f t="shared" si="25"/>
        <v>-</v>
      </c>
      <c r="G425" s="32" t="str">
        <f t="shared" si="26"/>
        <v>-</v>
      </c>
      <c r="H425" s="32" t="str" cm="1">
        <f t="array" ref="H425">IF(A425="","-",A425-_xlfn.XLOOKUP($L$3,$E$2:E424,$A$2:A424,,FALSE,-1))</f>
        <v>-</v>
      </c>
      <c r="I425" s="32" t="str">
        <f t="shared" si="27"/>
        <v>-</v>
      </c>
    </row>
    <row r="426" spans="5:9" x14ac:dyDescent="0.25">
      <c r="E426" s="43" t="str">
        <f t="shared" si="24"/>
        <v>-</v>
      </c>
      <c r="F426" s="31" t="str">
        <f t="shared" si="25"/>
        <v>-</v>
      </c>
      <c r="G426" s="32" t="str">
        <f t="shared" si="26"/>
        <v>-</v>
      </c>
      <c r="H426" s="32" t="str" cm="1">
        <f t="array" ref="H426">IF(A426="","-",A426-_xlfn.XLOOKUP($L$3,$E$2:E425,$A$2:A425,,FALSE,-1))</f>
        <v>-</v>
      </c>
      <c r="I426" s="32" t="str">
        <f t="shared" si="27"/>
        <v>-</v>
      </c>
    </row>
    <row r="427" spans="5:9" x14ac:dyDescent="0.25">
      <c r="E427" s="43" t="str">
        <f t="shared" si="24"/>
        <v>-</v>
      </c>
      <c r="F427" s="31" t="str">
        <f t="shared" si="25"/>
        <v>-</v>
      </c>
      <c r="G427" s="32" t="str">
        <f t="shared" si="26"/>
        <v>-</v>
      </c>
      <c r="H427" s="32" t="str" cm="1">
        <f t="array" ref="H427">IF(A427="","-",A427-_xlfn.XLOOKUP($L$3,$E$2:E426,$A$2:A426,,FALSE,-1))</f>
        <v>-</v>
      </c>
      <c r="I427" s="32" t="str">
        <f t="shared" si="27"/>
        <v>-</v>
      </c>
    </row>
    <row r="428" spans="5:9" x14ac:dyDescent="0.25">
      <c r="E428" s="43" t="str">
        <f t="shared" si="24"/>
        <v>-</v>
      </c>
      <c r="F428" s="31" t="str">
        <f t="shared" si="25"/>
        <v>-</v>
      </c>
      <c r="G428" s="32" t="str">
        <f t="shared" si="26"/>
        <v>-</v>
      </c>
      <c r="H428" s="32" t="str" cm="1">
        <f t="array" ref="H428">IF(A428="","-",A428-_xlfn.XLOOKUP($L$3,$E$2:E427,$A$2:A427,,FALSE,-1))</f>
        <v>-</v>
      </c>
      <c r="I428" s="32" t="str">
        <f t="shared" si="27"/>
        <v>-</v>
      </c>
    </row>
    <row r="429" spans="5:9" x14ac:dyDescent="0.25">
      <c r="E429" s="43" t="str">
        <f t="shared" si="24"/>
        <v>-</v>
      </c>
      <c r="F429" s="31" t="str">
        <f t="shared" si="25"/>
        <v>-</v>
      </c>
      <c r="G429" s="32" t="str">
        <f t="shared" si="26"/>
        <v>-</v>
      </c>
      <c r="H429" s="32" t="str" cm="1">
        <f t="array" ref="H429">IF(A429="","-",A429-_xlfn.XLOOKUP($L$3,$E$2:E428,$A$2:A428,,FALSE,-1))</f>
        <v>-</v>
      </c>
      <c r="I429" s="32" t="str">
        <f t="shared" si="27"/>
        <v>-</v>
      </c>
    </row>
    <row r="430" spans="5:9" x14ac:dyDescent="0.25">
      <c r="E430" s="43" t="str">
        <f t="shared" si="24"/>
        <v>-</v>
      </c>
      <c r="F430" s="31" t="str">
        <f t="shared" si="25"/>
        <v>-</v>
      </c>
      <c r="G430" s="32" t="str">
        <f t="shared" si="26"/>
        <v>-</v>
      </c>
      <c r="H430" s="32" t="str" cm="1">
        <f t="array" ref="H430">IF(A430="","-",A430-_xlfn.XLOOKUP($L$3,$E$2:E429,$A$2:A429,,FALSE,-1))</f>
        <v>-</v>
      </c>
      <c r="I430" s="32" t="str">
        <f t="shared" si="27"/>
        <v>-</v>
      </c>
    </row>
    <row r="431" spans="5:9" x14ac:dyDescent="0.25">
      <c r="E431" s="43" t="str">
        <f t="shared" si="24"/>
        <v>-</v>
      </c>
      <c r="F431" s="31" t="str">
        <f t="shared" si="25"/>
        <v>-</v>
      </c>
      <c r="G431" s="32" t="str">
        <f t="shared" si="26"/>
        <v>-</v>
      </c>
      <c r="H431" s="32" t="str" cm="1">
        <f t="array" ref="H431">IF(A431="","-",A431-_xlfn.XLOOKUP($L$3,$E$2:E430,$A$2:A430,,FALSE,-1))</f>
        <v>-</v>
      </c>
      <c r="I431" s="32" t="str">
        <f t="shared" si="27"/>
        <v>-</v>
      </c>
    </row>
    <row r="432" spans="5:9" x14ac:dyDescent="0.25">
      <c r="E432" s="43" t="str">
        <f t="shared" si="24"/>
        <v>-</v>
      </c>
      <c r="F432" s="31" t="str">
        <f t="shared" si="25"/>
        <v>-</v>
      </c>
      <c r="G432" s="32" t="str">
        <f t="shared" si="26"/>
        <v>-</v>
      </c>
      <c r="H432" s="32" t="str" cm="1">
        <f t="array" ref="H432">IF(A432="","-",A432-_xlfn.XLOOKUP($L$3,$E$2:E431,$A$2:A431,,FALSE,-1))</f>
        <v>-</v>
      </c>
      <c r="I432" s="32" t="str">
        <f t="shared" si="27"/>
        <v>-</v>
      </c>
    </row>
    <row r="433" spans="5:9" x14ac:dyDescent="0.25">
      <c r="E433" s="43" t="str">
        <f t="shared" si="24"/>
        <v>-</v>
      </c>
      <c r="F433" s="31" t="str">
        <f t="shared" si="25"/>
        <v>-</v>
      </c>
      <c r="G433" s="32" t="str">
        <f t="shared" si="26"/>
        <v>-</v>
      </c>
      <c r="H433" s="32" t="str" cm="1">
        <f t="array" ref="H433">IF(A433="","-",A433-_xlfn.XLOOKUP($L$3,$E$2:E432,$A$2:A432,,FALSE,-1))</f>
        <v>-</v>
      </c>
      <c r="I433" s="32" t="str">
        <f t="shared" si="27"/>
        <v>-</v>
      </c>
    </row>
    <row r="434" spans="5:9" x14ac:dyDescent="0.25">
      <c r="E434" s="43" t="str">
        <f t="shared" si="24"/>
        <v>-</v>
      </c>
      <c r="F434" s="31" t="str">
        <f t="shared" si="25"/>
        <v>-</v>
      </c>
      <c r="G434" s="32" t="str">
        <f t="shared" si="26"/>
        <v>-</v>
      </c>
      <c r="H434" s="32" t="str" cm="1">
        <f t="array" ref="H434">IF(A434="","-",A434-_xlfn.XLOOKUP($L$3,$E$2:E433,$A$2:A433,,FALSE,-1))</f>
        <v>-</v>
      </c>
      <c r="I434" s="32" t="str">
        <f t="shared" si="27"/>
        <v>-</v>
      </c>
    </row>
    <row r="435" spans="5:9" x14ac:dyDescent="0.25">
      <c r="E435" s="43" t="str">
        <f t="shared" si="24"/>
        <v>-</v>
      </c>
      <c r="F435" s="31" t="str">
        <f t="shared" si="25"/>
        <v>-</v>
      </c>
      <c r="G435" s="32" t="str">
        <f t="shared" si="26"/>
        <v>-</v>
      </c>
      <c r="H435" s="32" t="str" cm="1">
        <f t="array" ref="H435">IF(A435="","-",A435-_xlfn.XLOOKUP($L$3,$E$2:E434,$A$2:A434,,FALSE,-1))</f>
        <v>-</v>
      </c>
      <c r="I435" s="32" t="str">
        <f t="shared" si="27"/>
        <v>-</v>
      </c>
    </row>
    <row r="436" spans="5:9" x14ac:dyDescent="0.25">
      <c r="E436" s="43" t="str">
        <f t="shared" si="24"/>
        <v>-</v>
      </c>
      <c r="F436" s="31" t="str">
        <f t="shared" si="25"/>
        <v>-</v>
      </c>
      <c r="G436" s="32" t="str">
        <f t="shared" si="26"/>
        <v>-</v>
      </c>
      <c r="H436" s="32" t="str" cm="1">
        <f t="array" ref="H436">IF(A436="","-",A436-_xlfn.XLOOKUP($L$3,$E$2:E435,$A$2:A435,,FALSE,-1))</f>
        <v>-</v>
      </c>
      <c r="I436" s="32" t="str">
        <f t="shared" si="27"/>
        <v>-</v>
      </c>
    </row>
    <row r="437" spans="5:9" x14ac:dyDescent="0.25">
      <c r="E437" s="43" t="str">
        <f t="shared" si="24"/>
        <v>-</v>
      </c>
      <c r="F437" s="31" t="str">
        <f t="shared" si="25"/>
        <v>-</v>
      </c>
      <c r="G437" s="32" t="str">
        <f t="shared" si="26"/>
        <v>-</v>
      </c>
      <c r="H437" s="32" t="str" cm="1">
        <f t="array" ref="H437">IF(A437="","-",A437-_xlfn.XLOOKUP($L$3,$E$2:E436,$A$2:A436,,FALSE,-1))</f>
        <v>-</v>
      </c>
      <c r="I437" s="32" t="str">
        <f t="shared" si="27"/>
        <v>-</v>
      </c>
    </row>
    <row r="438" spans="5:9" x14ac:dyDescent="0.25">
      <c r="E438" s="43" t="str">
        <f t="shared" si="24"/>
        <v>-</v>
      </c>
      <c r="F438" s="31" t="str">
        <f t="shared" si="25"/>
        <v>-</v>
      </c>
      <c r="G438" s="32" t="str">
        <f t="shared" si="26"/>
        <v>-</v>
      </c>
      <c r="H438" s="32" t="str" cm="1">
        <f t="array" ref="H438">IF(A438="","-",A438-_xlfn.XLOOKUP($L$3,$E$2:E437,$A$2:A437,,FALSE,-1))</f>
        <v>-</v>
      </c>
      <c r="I438" s="32" t="str">
        <f t="shared" si="27"/>
        <v>-</v>
      </c>
    </row>
    <row r="439" spans="5:9" x14ac:dyDescent="0.25">
      <c r="E439" s="43" t="str">
        <f t="shared" si="24"/>
        <v>-</v>
      </c>
      <c r="F439" s="31" t="str">
        <f t="shared" si="25"/>
        <v>-</v>
      </c>
      <c r="G439" s="32" t="str">
        <f t="shared" si="26"/>
        <v>-</v>
      </c>
      <c r="H439" s="32" t="str" cm="1">
        <f t="array" ref="H439">IF(A439="","-",A439-_xlfn.XLOOKUP($L$3,$E$2:E438,$A$2:A438,,FALSE,-1))</f>
        <v>-</v>
      </c>
      <c r="I439" s="32" t="str">
        <f t="shared" si="27"/>
        <v>-</v>
      </c>
    </row>
    <row r="440" spans="5:9" x14ac:dyDescent="0.25">
      <c r="E440" s="43" t="str">
        <f t="shared" si="24"/>
        <v>-</v>
      </c>
      <c r="F440" s="31" t="str">
        <f t="shared" si="25"/>
        <v>-</v>
      </c>
      <c r="G440" s="32" t="str">
        <f t="shared" si="26"/>
        <v>-</v>
      </c>
      <c r="H440" s="32" t="str" cm="1">
        <f t="array" ref="H440">IF(A440="","-",A440-_xlfn.XLOOKUP($L$3,$E$2:E439,$A$2:A439,,FALSE,-1))</f>
        <v>-</v>
      </c>
      <c r="I440" s="32" t="str">
        <f t="shared" si="27"/>
        <v>-</v>
      </c>
    </row>
    <row r="441" spans="5:9" x14ac:dyDescent="0.25">
      <c r="E441" s="43" t="str">
        <f t="shared" si="24"/>
        <v>-</v>
      </c>
      <c r="F441" s="31" t="str">
        <f t="shared" si="25"/>
        <v>-</v>
      </c>
      <c r="G441" s="32" t="str">
        <f t="shared" si="26"/>
        <v>-</v>
      </c>
      <c r="H441" s="32" t="str" cm="1">
        <f t="array" ref="H441">IF(A441="","-",A441-_xlfn.XLOOKUP($L$3,$E$2:E440,$A$2:A440,,FALSE,-1))</f>
        <v>-</v>
      </c>
      <c r="I441" s="32" t="str">
        <f t="shared" si="27"/>
        <v>-</v>
      </c>
    </row>
    <row r="442" spans="5:9" x14ac:dyDescent="0.25">
      <c r="E442" s="43" t="str">
        <f t="shared" si="24"/>
        <v>-</v>
      </c>
      <c r="F442" s="31" t="str">
        <f t="shared" si="25"/>
        <v>-</v>
      </c>
      <c r="G442" s="32" t="str">
        <f t="shared" si="26"/>
        <v>-</v>
      </c>
      <c r="H442" s="32" t="str" cm="1">
        <f t="array" ref="H442">IF(A442="","-",A442-_xlfn.XLOOKUP($L$3,$E$2:E441,$A$2:A441,,FALSE,-1))</f>
        <v>-</v>
      </c>
      <c r="I442" s="32" t="str">
        <f t="shared" si="27"/>
        <v>-</v>
      </c>
    </row>
    <row r="443" spans="5:9" x14ac:dyDescent="0.25">
      <c r="E443" s="43" t="str">
        <f t="shared" si="24"/>
        <v>-</v>
      </c>
      <c r="F443" s="31" t="str">
        <f t="shared" si="25"/>
        <v>-</v>
      </c>
      <c r="G443" s="32" t="str">
        <f t="shared" si="26"/>
        <v>-</v>
      </c>
      <c r="H443" s="32" t="str" cm="1">
        <f t="array" ref="H443">IF(A443="","-",A443-_xlfn.XLOOKUP($L$3,$E$2:E442,$A$2:A442,,FALSE,-1))</f>
        <v>-</v>
      </c>
      <c r="I443" s="32" t="str">
        <f t="shared" si="27"/>
        <v>-</v>
      </c>
    </row>
    <row r="444" spans="5:9" x14ac:dyDescent="0.25">
      <c r="E444" s="43" t="str">
        <f t="shared" si="24"/>
        <v>-</v>
      </c>
      <c r="F444" s="31" t="str">
        <f t="shared" si="25"/>
        <v>-</v>
      </c>
      <c r="G444" s="32" t="str">
        <f t="shared" si="26"/>
        <v>-</v>
      </c>
      <c r="H444" s="32" t="str" cm="1">
        <f t="array" ref="H444">IF(A444="","-",A444-_xlfn.XLOOKUP($L$3,$E$2:E443,$A$2:A443,,FALSE,-1))</f>
        <v>-</v>
      </c>
      <c r="I444" s="32" t="str">
        <f t="shared" si="27"/>
        <v>-</v>
      </c>
    </row>
    <row r="445" spans="5:9" x14ac:dyDescent="0.25">
      <c r="E445" s="43" t="str">
        <f t="shared" si="24"/>
        <v>-</v>
      </c>
      <c r="F445" s="31" t="str">
        <f t="shared" si="25"/>
        <v>-</v>
      </c>
      <c r="G445" s="32" t="str">
        <f t="shared" si="26"/>
        <v>-</v>
      </c>
      <c r="H445" s="32" t="str" cm="1">
        <f t="array" ref="H445">IF(A445="","-",A445-_xlfn.XLOOKUP($L$3,$E$2:E444,$A$2:A444,,FALSE,-1))</f>
        <v>-</v>
      </c>
      <c r="I445" s="32" t="str">
        <f t="shared" si="27"/>
        <v>-</v>
      </c>
    </row>
    <row r="446" spans="5:9" x14ac:dyDescent="0.25">
      <c r="E446" s="43" t="str">
        <f t="shared" si="24"/>
        <v>-</v>
      </c>
      <c r="F446" s="31" t="str">
        <f t="shared" si="25"/>
        <v>-</v>
      </c>
      <c r="G446" s="32" t="str">
        <f t="shared" si="26"/>
        <v>-</v>
      </c>
      <c r="H446" s="32" t="str" cm="1">
        <f t="array" ref="H446">IF(A446="","-",A446-_xlfn.XLOOKUP($L$3,$E$2:E445,$A$2:A445,,FALSE,-1))</f>
        <v>-</v>
      </c>
      <c r="I446" s="32" t="str">
        <f t="shared" si="27"/>
        <v>-</v>
      </c>
    </row>
    <row r="447" spans="5:9" x14ac:dyDescent="0.25">
      <c r="E447" s="43" t="str">
        <f t="shared" si="24"/>
        <v>-</v>
      </c>
      <c r="F447" s="31" t="str">
        <f t="shared" si="25"/>
        <v>-</v>
      </c>
      <c r="G447" s="32" t="str">
        <f t="shared" si="26"/>
        <v>-</v>
      </c>
      <c r="H447" s="32" t="str" cm="1">
        <f t="array" ref="H447">IF(A447="","-",A447-_xlfn.XLOOKUP($L$3,$E$2:E446,$A$2:A446,,FALSE,-1))</f>
        <v>-</v>
      </c>
      <c r="I447" s="32" t="str">
        <f t="shared" si="27"/>
        <v>-</v>
      </c>
    </row>
    <row r="448" spans="5:9" x14ac:dyDescent="0.25">
      <c r="E448" s="43" t="str">
        <f t="shared" si="24"/>
        <v>-</v>
      </c>
      <c r="F448" s="31" t="str">
        <f t="shared" si="25"/>
        <v>-</v>
      </c>
      <c r="G448" s="32" t="str">
        <f t="shared" si="26"/>
        <v>-</v>
      </c>
      <c r="H448" s="32" t="str" cm="1">
        <f t="array" ref="H448">IF(A448="","-",A448-_xlfn.XLOOKUP($L$3,$E$2:E447,$A$2:A447,,FALSE,-1))</f>
        <v>-</v>
      </c>
      <c r="I448" s="32" t="str">
        <f t="shared" si="27"/>
        <v>-</v>
      </c>
    </row>
    <row r="449" spans="5:9" x14ac:dyDescent="0.25">
      <c r="E449" s="43" t="str">
        <f t="shared" si="24"/>
        <v>-</v>
      </c>
      <c r="F449" s="31" t="str">
        <f t="shared" si="25"/>
        <v>-</v>
      </c>
      <c r="G449" s="32" t="str">
        <f t="shared" si="26"/>
        <v>-</v>
      </c>
      <c r="H449" s="32" t="str" cm="1">
        <f t="array" ref="H449">IF(A449="","-",A449-_xlfn.XLOOKUP($L$3,$E$2:E448,$A$2:A448,,FALSE,-1))</f>
        <v>-</v>
      </c>
      <c r="I449" s="32" t="str">
        <f t="shared" si="27"/>
        <v>-</v>
      </c>
    </row>
    <row r="450" spans="5:9" x14ac:dyDescent="0.25">
      <c r="E450" s="43" t="str">
        <f t="shared" si="24"/>
        <v>-</v>
      </c>
      <c r="F450" s="31" t="str">
        <f t="shared" si="25"/>
        <v>-</v>
      </c>
      <c r="G450" s="32" t="str">
        <f t="shared" si="26"/>
        <v>-</v>
      </c>
      <c r="H450" s="32" t="str" cm="1">
        <f t="array" ref="H450">IF(A450="","-",A450-_xlfn.XLOOKUP($L$3,$E$2:E449,$A$2:A449,,FALSE,-1))</f>
        <v>-</v>
      </c>
      <c r="I450" s="32" t="str">
        <f t="shared" si="27"/>
        <v>-</v>
      </c>
    </row>
    <row r="451" spans="5:9" x14ac:dyDescent="0.25">
      <c r="E451" s="43" t="str">
        <f t="shared" ref="E451:E478" si="28">IF(A451="","-",VLOOKUP(C451,$L$3:$O$8,2,FALSE))</f>
        <v>-</v>
      </c>
      <c r="F451" s="31" t="str">
        <f t="shared" ref="F451:F478" si="29">IF(A451="","-",IF(OR(C451=$L$10,C451=$L$11,C451=$L$12),MID(SUBSTITUTE(D451,".",","),1,FIND("(",SUBSTITUTE(D451,".",","))-1)*1,D451))</f>
        <v>-</v>
      </c>
      <c r="G451" s="32" t="str">
        <f t="shared" ref="G451:G478" si="30">IF(A451="","-",A451-A450)</f>
        <v>-</v>
      </c>
      <c r="H451" s="32" t="str" cm="1">
        <f t="array" ref="H451">IF(A451="","-",A451-_xlfn.XLOOKUP($L$3,$E$2:E450,$A$2:A450,,FALSE,-1))</f>
        <v>-</v>
      </c>
      <c r="I451" s="32" t="str">
        <f t="shared" ref="I451:I478" si="31">IF(A451="","-",A451-0.00173611111111116)</f>
        <v>-</v>
      </c>
    </row>
    <row r="452" spans="5:9" x14ac:dyDescent="0.25">
      <c r="E452" s="43" t="str">
        <f t="shared" si="28"/>
        <v>-</v>
      </c>
      <c r="F452" s="31" t="str">
        <f t="shared" si="29"/>
        <v>-</v>
      </c>
      <c r="G452" s="32" t="str">
        <f t="shared" si="30"/>
        <v>-</v>
      </c>
      <c r="H452" s="32" t="str" cm="1">
        <f t="array" ref="H452">IF(A452="","-",A452-_xlfn.XLOOKUP($L$3,$E$2:E451,$A$2:A451,,FALSE,-1))</f>
        <v>-</v>
      </c>
      <c r="I452" s="32" t="str">
        <f t="shared" si="31"/>
        <v>-</v>
      </c>
    </row>
    <row r="453" spans="5:9" x14ac:dyDescent="0.25">
      <c r="E453" s="43" t="str">
        <f t="shared" si="28"/>
        <v>-</v>
      </c>
      <c r="F453" s="31" t="str">
        <f t="shared" si="29"/>
        <v>-</v>
      </c>
      <c r="G453" s="32" t="str">
        <f t="shared" si="30"/>
        <v>-</v>
      </c>
      <c r="H453" s="32" t="str" cm="1">
        <f t="array" ref="H453">IF(A453="","-",A453-_xlfn.XLOOKUP($L$3,$E$2:E452,$A$2:A452,,FALSE,-1))</f>
        <v>-</v>
      </c>
      <c r="I453" s="32" t="str">
        <f t="shared" si="31"/>
        <v>-</v>
      </c>
    </row>
    <row r="454" spans="5:9" x14ac:dyDescent="0.25">
      <c r="E454" s="43" t="str">
        <f t="shared" si="28"/>
        <v>-</v>
      </c>
      <c r="F454" s="31" t="str">
        <f t="shared" si="29"/>
        <v>-</v>
      </c>
      <c r="G454" s="32" t="str">
        <f t="shared" si="30"/>
        <v>-</v>
      </c>
      <c r="H454" s="32" t="str" cm="1">
        <f t="array" ref="H454">IF(A454="","-",A454-_xlfn.XLOOKUP($L$3,$E$2:E453,$A$2:A453,,FALSE,-1))</f>
        <v>-</v>
      </c>
      <c r="I454" s="32" t="str">
        <f t="shared" si="31"/>
        <v>-</v>
      </c>
    </row>
    <row r="455" spans="5:9" x14ac:dyDescent="0.25">
      <c r="E455" s="43" t="str">
        <f t="shared" si="28"/>
        <v>-</v>
      </c>
      <c r="F455" s="31" t="str">
        <f t="shared" si="29"/>
        <v>-</v>
      </c>
      <c r="G455" s="32" t="str">
        <f t="shared" si="30"/>
        <v>-</v>
      </c>
      <c r="H455" s="32" t="str" cm="1">
        <f t="array" ref="H455">IF(A455="","-",A455-_xlfn.XLOOKUP($L$3,$E$2:E454,$A$2:A454,,FALSE,-1))</f>
        <v>-</v>
      </c>
      <c r="I455" s="32" t="str">
        <f t="shared" si="31"/>
        <v>-</v>
      </c>
    </row>
    <row r="456" spans="5:9" x14ac:dyDescent="0.25">
      <c r="E456" s="43" t="str">
        <f t="shared" si="28"/>
        <v>-</v>
      </c>
      <c r="F456" s="31" t="str">
        <f t="shared" si="29"/>
        <v>-</v>
      </c>
      <c r="G456" s="32" t="str">
        <f t="shared" si="30"/>
        <v>-</v>
      </c>
      <c r="H456" s="32" t="str" cm="1">
        <f t="array" ref="H456">IF(A456="","-",A456-_xlfn.XLOOKUP($L$3,$E$2:E455,$A$2:A455,,FALSE,-1))</f>
        <v>-</v>
      </c>
      <c r="I456" s="32" t="str">
        <f t="shared" si="31"/>
        <v>-</v>
      </c>
    </row>
    <row r="457" spans="5:9" x14ac:dyDescent="0.25">
      <c r="E457" s="43" t="str">
        <f t="shared" si="28"/>
        <v>-</v>
      </c>
      <c r="F457" s="31" t="str">
        <f t="shared" si="29"/>
        <v>-</v>
      </c>
      <c r="G457" s="32" t="str">
        <f t="shared" si="30"/>
        <v>-</v>
      </c>
      <c r="H457" s="32" t="str" cm="1">
        <f t="array" ref="H457">IF(A457="","-",A457-_xlfn.XLOOKUP($L$3,$E$2:E456,$A$2:A456,,FALSE,-1))</f>
        <v>-</v>
      </c>
      <c r="I457" s="32" t="str">
        <f t="shared" si="31"/>
        <v>-</v>
      </c>
    </row>
    <row r="458" spans="5:9" x14ac:dyDescent="0.25">
      <c r="E458" s="43" t="str">
        <f t="shared" si="28"/>
        <v>-</v>
      </c>
      <c r="F458" s="31" t="str">
        <f t="shared" si="29"/>
        <v>-</v>
      </c>
      <c r="G458" s="32" t="str">
        <f t="shared" si="30"/>
        <v>-</v>
      </c>
      <c r="H458" s="32" t="str" cm="1">
        <f t="array" ref="H458">IF(A458="","-",A458-_xlfn.XLOOKUP($L$3,$E$2:E457,$A$2:A457,,FALSE,-1))</f>
        <v>-</v>
      </c>
      <c r="I458" s="32" t="str">
        <f t="shared" si="31"/>
        <v>-</v>
      </c>
    </row>
    <row r="459" spans="5:9" x14ac:dyDescent="0.25">
      <c r="E459" s="43" t="str">
        <f t="shared" si="28"/>
        <v>-</v>
      </c>
      <c r="F459" s="31" t="str">
        <f t="shared" si="29"/>
        <v>-</v>
      </c>
      <c r="G459" s="32" t="str">
        <f t="shared" si="30"/>
        <v>-</v>
      </c>
      <c r="H459" s="32" t="str" cm="1">
        <f t="array" ref="H459">IF(A459="","-",A459-_xlfn.XLOOKUP($L$3,$E$2:E458,$A$2:A458,,FALSE,-1))</f>
        <v>-</v>
      </c>
      <c r="I459" s="32" t="str">
        <f t="shared" si="31"/>
        <v>-</v>
      </c>
    </row>
    <row r="460" spans="5:9" x14ac:dyDescent="0.25">
      <c r="E460" s="43" t="str">
        <f t="shared" si="28"/>
        <v>-</v>
      </c>
      <c r="F460" s="31" t="str">
        <f t="shared" si="29"/>
        <v>-</v>
      </c>
      <c r="G460" s="32" t="str">
        <f t="shared" si="30"/>
        <v>-</v>
      </c>
      <c r="H460" s="32" t="str" cm="1">
        <f t="array" ref="H460">IF(A460="","-",A460-_xlfn.XLOOKUP($L$3,$E$2:E459,$A$2:A459,,FALSE,-1))</f>
        <v>-</v>
      </c>
      <c r="I460" s="32" t="str">
        <f t="shared" si="31"/>
        <v>-</v>
      </c>
    </row>
    <row r="461" spans="5:9" x14ac:dyDescent="0.25">
      <c r="E461" s="43" t="str">
        <f t="shared" si="28"/>
        <v>-</v>
      </c>
      <c r="F461" s="31" t="str">
        <f t="shared" si="29"/>
        <v>-</v>
      </c>
      <c r="G461" s="32" t="str">
        <f t="shared" si="30"/>
        <v>-</v>
      </c>
      <c r="H461" s="32" t="str" cm="1">
        <f t="array" ref="H461">IF(A461="","-",A461-_xlfn.XLOOKUP($L$3,$E$2:E460,$A$2:A460,,FALSE,-1))</f>
        <v>-</v>
      </c>
      <c r="I461" s="32" t="str">
        <f t="shared" si="31"/>
        <v>-</v>
      </c>
    </row>
    <row r="462" spans="5:9" x14ac:dyDescent="0.25">
      <c r="E462" s="43" t="str">
        <f t="shared" si="28"/>
        <v>-</v>
      </c>
      <c r="F462" s="31" t="str">
        <f t="shared" si="29"/>
        <v>-</v>
      </c>
      <c r="G462" s="32" t="str">
        <f t="shared" si="30"/>
        <v>-</v>
      </c>
      <c r="H462" s="32" t="str" cm="1">
        <f t="array" ref="H462">IF(A462="","-",A462-_xlfn.XLOOKUP($L$3,$E$2:E461,$A$2:A461,,FALSE,-1))</f>
        <v>-</v>
      </c>
      <c r="I462" s="32" t="str">
        <f t="shared" si="31"/>
        <v>-</v>
      </c>
    </row>
    <row r="463" spans="5:9" x14ac:dyDescent="0.25">
      <c r="E463" s="43" t="str">
        <f t="shared" si="28"/>
        <v>-</v>
      </c>
      <c r="F463" s="31" t="str">
        <f t="shared" si="29"/>
        <v>-</v>
      </c>
      <c r="G463" s="32" t="str">
        <f t="shared" si="30"/>
        <v>-</v>
      </c>
      <c r="H463" s="32" t="str" cm="1">
        <f t="array" ref="H463">IF(A463="","-",A463-_xlfn.XLOOKUP($L$3,$E$2:E462,$A$2:A462,,FALSE,-1))</f>
        <v>-</v>
      </c>
      <c r="I463" s="32" t="str">
        <f t="shared" si="31"/>
        <v>-</v>
      </c>
    </row>
    <row r="464" spans="5:9" x14ac:dyDescent="0.25">
      <c r="E464" s="43" t="str">
        <f t="shared" si="28"/>
        <v>-</v>
      </c>
      <c r="F464" s="31" t="str">
        <f t="shared" si="29"/>
        <v>-</v>
      </c>
      <c r="G464" s="32" t="str">
        <f t="shared" si="30"/>
        <v>-</v>
      </c>
      <c r="H464" s="32" t="str" cm="1">
        <f t="array" ref="H464">IF(A464="","-",A464-_xlfn.XLOOKUP($L$3,$E$2:E463,$A$2:A463,,FALSE,-1))</f>
        <v>-</v>
      </c>
      <c r="I464" s="32" t="str">
        <f t="shared" si="31"/>
        <v>-</v>
      </c>
    </row>
    <row r="465" spans="5:9" x14ac:dyDescent="0.25">
      <c r="E465" s="43" t="str">
        <f t="shared" si="28"/>
        <v>-</v>
      </c>
      <c r="F465" s="31" t="str">
        <f t="shared" si="29"/>
        <v>-</v>
      </c>
      <c r="G465" s="32" t="str">
        <f t="shared" si="30"/>
        <v>-</v>
      </c>
      <c r="H465" s="32" t="str" cm="1">
        <f t="array" ref="H465">IF(A465="","-",A465-_xlfn.XLOOKUP($L$3,$E$2:E464,$A$2:A464,,FALSE,-1))</f>
        <v>-</v>
      </c>
      <c r="I465" s="32" t="str">
        <f t="shared" si="31"/>
        <v>-</v>
      </c>
    </row>
    <row r="466" spans="5:9" x14ac:dyDescent="0.25">
      <c r="E466" s="43" t="str">
        <f t="shared" si="28"/>
        <v>-</v>
      </c>
      <c r="F466" s="31" t="str">
        <f t="shared" si="29"/>
        <v>-</v>
      </c>
      <c r="G466" s="32" t="str">
        <f t="shared" si="30"/>
        <v>-</v>
      </c>
      <c r="H466" s="32" t="str" cm="1">
        <f t="array" ref="H466">IF(A466="","-",A466-_xlfn.XLOOKUP($L$3,$E$2:E465,$A$2:A465,,FALSE,-1))</f>
        <v>-</v>
      </c>
      <c r="I466" s="32" t="str">
        <f t="shared" si="31"/>
        <v>-</v>
      </c>
    </row>
    <row r="467" spans="5:9" x14ac:dyDescent="0.25">
      <c r="E467" s="43" t="str">
        <f t="shared" si="28"/>
        <v>-</v>
      </c>
      <c r="F467" s="31" t="str">
        <f t="shared" si="29"/>
        <v>-</v>
      </c>
      <c r="G467" s="32" t="str">
        <f t="shared" si="30"/>
        <v>-</v>
      </c>
      <c r="H467" s="32" t="str" cm="1">
        <f t="array" ref="H467">IF(A467="","-",A467-_xlfn.XLOOKUP($L$3,$E$2:E466,$A$2:A466,,FALSE,-1))</f>
        <v>-</v>
      </c>
      <c r="I467" s="32" t="str">
        <f t="shared" si="31"/>
        <v>-</v>
      </c>
    </row>
    <row r="468" spans="5:9" x14ac:dyDescent="0.25">
      <c r="E468" s="43" t="str">
        <f t="shared" si="28"/>
        <v>-</v>
      </c>
      <c r="F468" s="31" t="str">
        <f t="shared" si="29"/>
        <v>-</v>
      </c>
      <c r="G468" s="32" t="str">
        <f t="shared" si="30"/>
        <v>-</v>
      </c>
      <c r="H468" s="32" t="str" cm="1">
        <f t="array" ref="H468">IF(A468="","-",A468-_xlfn.XLOOKUP($L$3,$E$2:E467,$A$2:A467,,FALSE,-1))</f>
        <v>-</v>
      </c>
      <c r="I468" s="32" t="str">
        <f t="shared" si="31"/>
        <v>-</v>
      </c>
    </row>
    <row r="469" spans="5:9" x14ac:dyDescent="0.25">
      <c r="E469" s="43" t="str">
        <f t="shared" si="28"/>
        <v>-</v>
      </c>
      <c r="F469" s="31" t="str">
        <f t="shared" si="29"/>
        <v>-</v>
      </c>
      <c r="G469" s="32" t="str">
        <f t="shared" si="30"/>
        <v>-</v>
      </c>
      <c r="H469" s="32" t="str" cm="1">
        <f t="array" ref="H469">IF(A469="","-",A469-_xlfn.XLOOKUP($L$3,$E$2:E468,$A$2:A468,,FALSE,-1))</f>
        <v>-</v>
      </c>
      <c r="I469" s="32" t="str">
        <f t="shared" si="31"/>
        <v>-</v>
      </c>
    </row>
    <row r="470" spans="5:9" x14ac:dyDescent="0.25">
      <c r="E470" s="43" t="str">
        <f t="shared" si="28"/>
        <v>-</v>
      </c>
      <c r="F470" s="31" t="str">
        <f t="shared" si="29"/>
        <v>-</v>
      </c>
      <c r="G470" s="32" t="str">
        <f t="shared" si="30"/>
        <v>-</v>
      </c>
      <c r="H470" s="32" t="str" cm="1">
        <f t="array" ref="H470">IF(A470="","-",A470-_xlfn.XLOOKUP($L$3,$E$2:E469,$A$2:A469,,FALSE,-1))</f>
        <v>-</v>
      </c>
      <c r="I470" s="32" t="str">
        <f t="shared" si="31"/>
        <v>-</v>
      </c>
    </row>
    <row r="471" spans="5:9" x14ac:dyDescent="0.25">
      <c r="E471" s="43" t="str">
        <f t="shared" si="28"/>
        <v>-</v>
      </c>
      <c r="F471" s="31" t="str">
        <f t="shared" si="29"/>
        <v>-</v>
      </c>
      <c r="G471" s="32" t="str">
        <f t="shared" si="30"/>
        <v>-</v>
      </c>
      <c r="H471" s="32" t="str" cm="1">
        <f t="array" ref="H471">IF(A471="","-",A471-_xlfn.XLOOKUP($L$3,$E$2:E470,$A$2:A470,,FALSE,-1))</f>
        <v>-</v>
      </c>
      <c r="I471" s="32" t="str">
        <f t="shared" si="31"/>
        <v>-</v>
      </c>
    </row>
    <row r="472" spans="5:9" x14ac:dyDescent="0.25">
      <c r="E472" s="43" t="str">
        <f t="shared" si="28"/>
        <v>-</v>
      </c>
      <c r="F472" s="31" t="str">
        <f t="shared" si="29"/>
        <v>-</v>
      </c>
      <c r="G472" s="32" t="str">
        <f t="shared" si="30"/>
        <v>-</v>
      </c>
      <c r="H472" s="32" t="str" cm="1">
        <f t="array" ref="H472">IF(A472="","-",A472-_xlfn.XLOOKUP($L$3,$E$2:E471,$A$2:A471,,FALSE,-1))</f>
        <v>-</v>
      </c>
      <c r="I472" s="32" t="str">
        <f t="shared" si="31"/>
        <v>-</v>
      </c>
    </row>
    <row r="473" spans="5:9" x14ac:dyDescent="0.25">
      <c r="E473" s="43" t="str">
        <f t="shared" si="28"/>
        <v>-</v>
      </c>
      <c r="F473" s="31" t="str">
        <f t="shared" si="29"/>
        <v>-</v>
      </c>
      <c r="G473" s="32" t="str">
        <f t="shared" si="30"/>
        <v>-</v>
      </c>
      <c r="H473" s="32" t="str" cm="1">
        <f t="array" ref="H473">IF(A473="","-",A473-_xlfn.XLOOKUP($L$3,$E$2:E472,$A$2:A472,,FALSE,-1))</f>
        <v>-</v>
      </c>
      <c r="I473" s="32" t="str">
        <f t="shared" si="31"/>
        <v>-</v>
      </c>
    </row>
    <row r="474" spans="5:9" x14ac:dyDescent="0.25">
      <c r="E474" s="43" t="str">
        <f t="shared" si="28"/>
        <v>-</v>
      </c>
      <c r="F474" s="31" t="str">
        <f t="shared" si="29"/>
        <v>-</v>
      </c>
      <c r="G474" s="32" t="str">
        <f t="shared" si="30"/>
        <v>-</v>
      </c>
      <c r="H474" s="32" t="str" cm="1">
        <f t="array" ref="H474">IF(A474="","-",A474-_xlfn.XLOOKUP($L$3,$E$2:E473,$A$2:A473,,FALSE,-1))</f>
        <v>-</v>
      </c>
      <c r="I474" s="32" t="str">
        <f t="shared" si="31"/>
        <v>-</v>
      </c>
    </row>
    <row r="475" spans="5:9" x14ac:dyDescent="0.25">
      <c r="E475" s="43" t="str">
        <f t="shared" si="28"/>
        <v>-</v>
      </c>
      <c r="F475" s="31" t="str">
        <f t="shared" si="29"/>
        <v>-</v>
      </c>
      <c r="G475" s="32" t="str">
        <f t="shared" si="30"/>
        <v>-</v>
      </c>
      <c r="H475" s="32" t="str" cm="1">
        <f t="array" ref="H475">IF(A475="","-",A475-_xlfn.XLOOKUP($L$3,$E$2:E474,$A$2:A474,,FALSE,-1))</f>
        <v>-</v>
      </c>
      <c r="I475" s="32" t="str">
        <f t="shared" si="31"/>
        <v>-</v>
      </c>
    </row>
    <row r="476" spans="5:9" x14ac:dyDescent="0.25">
      <c r="E476" s="43" t="str">
        <f t="shared" si="28"/>
        <v>-</v>
      </c>
      <c r="F476" s="31" t="str">
        <f t="shared" si="29"/>
        <v>-</v>
      </c>
      <c r="G476" s="32" t="str">
        <f t="shared" si="30"/>
        <v>-</v>
      </c>
      <c r="H476" s="32" t="str" cm="1">
        <f t="array" ref="H476">IF(A476="","-",A476-_xlfn.XLOOKUP($L$3,$E$2:E475,$A$2:A475,,FALSE,-1))</f>
        <v>-</v>
      </c>
      <c r="I476" s="32" t="str">
        <f t="shared" si="31"/>
        <v>-</v>
      </c>
    </row>
    <row r="477" spans="5:9" x14ac:dyDescent="0.25">
      <c r="E477" s="43" t="str">
        <f t="shared" si="28"/>
        <v>-</v>
      </c>
      <c r="F477" s="31" t="str">
        <f t="shared" si="29"/>
        <v>-</v>
      </c>
      <c r="G477" s="32" t="str">
        <f t="shared" si="30"/>
        <v>-</v>
      </c>
      <c r="H477" s="32" t="str" cm="1">
        <f t="array" ref="H477">IF(A477="","-",A477-_xlfn.XLOOKUP($L$3,$E$2:E476,$A$2:A476,,FALSE,-1))</f>
        <v>-</v>
      </c>
      <c r="I477" s="32" t="str">
        <f t="shared" si="31"/>
        <v>-</v>
      </c>
    </row>
    <row r="478" spans="5:9" x14ac:dyDescent="0.25">
      <c r="E478" s="43" t="str">
        <f t="shared" si="28"/>
        <v>-</v>
      </c>
      <c r="F478" s="31" t="str">
        <f t="shared" si="29"/>
        <v>-</v>
      </c>
      <c r="G478" s="32" t="str">
        <f t="shared" si="30"/>
        <v>-</v>
      </c>
      <c r="H478" s="32" t="str" cm="1">
        <f t="array" ref="H478">IF(A478="","-",A478-_xlfn.XLOOKUP($L$3,$E$2:E477,$A$2:A477,,FALSE,-1))</f>
        <v>-</v>
      </c>
      <c r="I478" s="32" t="str">
        <f t="shared" si="31"/>
        <v>-</v>
      </c>
    </row>
  </sheetData>
  <autoFilter ref="A1:I1" xr:uid="{7415238C-C701-4C56-BA88-011CB62CEF9C}"/>
  <conditionalFormatting sqref="A2:I500">
    <cfRule type="expression" dxfId="0" priority="1">
      <formula>$F2="AN"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40A3-733E-4E06-B746-7FC07FB1A1D1}">
  <dimension ref="A1:A2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55</v>
      </c>
    </row>
    <row r="2" spans="1:1" x14ac:dyDescent="0.25">
      <c r="A2" s="63">
        <v>0.66666666666666663</v>
      </c>
    </row>
    <row r="3" spans="1:1" x14ac:dyDescent="0.25">
      <c r="A3" s="63">
        <f>A2-0.0208333333333333</f>
        <v>0.64583333333333337</v>
      </c>
    </row>
    <row r="4" spans="1:1" x14ac:dyDescent="0.25">
      <c r="A4" s="63">
        <f t="shared" ref="A4:A12" si="0">A3-0.0208333333333333</f>
        <v>0.62500000000000011</v>
      </c>
    </row>
    <row r="5" spans="1:1" x14ac:dyDescent="0.25">
      <c r="A5" s="63">
        <f t="shared" si="0"/>
        <v>0.60416666666666685</v>
      </c>
    </row>
    <row r="6" spans="1:1" x14ac:dyDescent="0.25">
      <c r="A6" s="63">
        <f t="shared" si="0"/>
        <v>0.58333333333333359</v>
      </c>
    </row>
    <row r="7" spans="1:1" x14ac:dyDescent="0.25">
      <c r="A7" s="63">
        <f t="shared" si="0"/>
        <v>0.56250000000000033</v>
      </c>
    </row>
    <row r="8" spans="1:1" x14ac:dyDescent="0.25">
      <c r="A8" s="63">
        <f t="shared" si="0"/>
        <v>0.54166666666666707</v>
      </c>
    </row>
    <row r="9" spans="1:1" x14ac:dyDescent="0.25">
      <c r="A9" s="63">
        <f t="shared" si="0"/>
        <v>0.52083333333333381</v>
      </c>
    </row>
    <row r="10" spans="1:1" x14ac:dyDescent="0.25">
      <c r="A10" s="63">
        <f t="shared" si="0"/>
        <v>0.50000000000000056</v>
      </c>
    </row>
    <row r="11" spans="1:1" x14ac:dyDescent="0.25">
      <c r="A11" s="63">
        <f t="shared" si="0"/>
        <v>0.47916666666666724</v>
      </c>
    </row>
    <row r="12" spans="1:1" x14ac:dyDescent="0.25">
      <c r="A12" s="63">
        <f t="shared" si="0"/>
        <v>0.45833333333333393</v>
      </c>
    </row>
    <row r="13" spans="1:1" x14ac:dyDescent="0.25">
      <c r="A13" s="63"/>
    </row>
    <row r="14" spans="1:1" x14ac:dyDescent="0.25">
      <c r="A14" s="63"/>
    </row>
    <row r="15" spans="1:1" x14ac:dyDescent="0.25">
      <c r="A15" s="63"/>
    </row>
    <row r="16" spans="1:1" x14ac:dyDescent="0.25">
      <c r="A16" s="63"/>
    </row>
    <row r="17" spans="1:1" x14ac:dyDescent="0.25">
      <c r="A17" s="63"/>
    </row>
    <row r="18" spans="1:1" x14ac:dyDescent="0.25">
      <c r="A18" s="63"/>
    </row>
    <row r="19" spans="1:1" x14ac:dyDescent="0.25">
      <c r="A19" s="63"/>
    </row>
    <row r="20" spans="1:1" x14ac:dyDescent="0.25">
      <c r="A20" s="63"/>
    </row>
    <row r="21" spans="1:1" x14ac:dyDescent="0.25">
      <c r="A21" s="6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Anschaltroutine</vt:lpstr>
      <vt:lpstr>logs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Michaelis</dc:creator>
  <cp:lastModifiedBy>Marco Michaelis</cp:lastModifiedBy>
  <dcterms:created xsi:type="dcterms:W3CDTF">2026-01-18T07:37:20Z</dcterms:created>
  <dcterms:modified xsi:type="dcterms:W3CDTF">2026-01-21T17:56:09Z</dcterms:modified>
</cp:coreProperties>
</file>